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a\OneDrive\Desktop\analysis\Retail Sales Analysis\"/>
    </mc:Choice>
  </mc:AlternateContent>
  <xr:revisionPtr revIDLastSave="0" documentId="13_ncr:1_{77D3E3C3-BC3C-4B76-B92B-34B718370F5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tail_Sales" sheetId="1" r:id="rId1"/>
    <sheet name="Report" sheetId="2" r:id="rId2"/>
    <sheet name="Conclusion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</calcChain>
</file>

<file path=xl/sharedStrings.xml><?xml version="1.0" encoding="utf-8"?>
<sst xmlns="http://schemas.openxmlformats.org/spreadsheetml/2006/main" count="1899" uniqueCount="610">
  <si>
    <t>Order ID</t>
  </si>
  <si>
    <t>Date</t>
  </si>
  <si>
    <t>Customer Name</t>
  </si>
  <si>
    <t>City</t>
  </si>
  <si>
    <t>Category</t>
  </si>
  <si>
    <t>Product</t>
  </si>
  <si>
    <t>Quantity</t>
  </si>
  <si>
    <t>Sales</t>
  </si>
  <si>
    <t>Profit</t>
  </si>
  <si>
    <t>Discount</t>
  </si>
  <si>
    <t>ORD0001</t>
  </si>
  <si>
    <t>2025-12-10</t>
  </si>
  <si>
    <t>Riya</t>
  </si>
  <si>
    <t>Mumbai</t>
  </si>
  <si>
    <t>Office Supplies</t>
  </si>
  <si>
    <t>Stapler</t>
  </si>
  <si>
    <t>ORD0002</t>
  </si>
  <si>
    <t>2025-06-20</t>
  </si>
  <si>
    <t>Sneha</t>
  </si>
  <si>
    <t>Hyderabad</t>
  </si>
  <si>
    <t>Electronics</t>
  </si>
  <si>
    <t>Mouse</t>
  </si>
  <si>
    <t>ORD0003</t>
  </si>
  <si>
    <t>2025-07-10</t>
  </si>
  <si>
    <t>Priya</t>
  </si>
  <si>
    <t>Delhi</t>
  </si>
  <si>
    <t>Laptop</t>
  </si>
  <si>
    <t>ORD0004</t>
  </si>
  <si>
    <t>2025-11-10</t>
  </si>
  <si>
    <t>Simran</t>
  </si>
  <si>
    <t>Pune</t>
  </si>
  <si>
    <t>ORD0005</t>
  </si>
  <si>
    <t>2025-02-13</t>
  </si>
  <si>
    <t>Marker</t>
  </si>
  <si>
    <t>ORD0006</t>
  </si>
  <si>
    <t>2025-04-02</t>
  </si>
  <si>
    <t>Pooja</t>
  </si>
  <si>
    <t>Furniture</t>
  </si>
  <si>
    <t>Cabinet</t>
  </si>
  <si>
    <t>ORD0007</t>
  </si>
  <si>
    <t>2025-11-18</t>
  </si>
  <si>
    <t>Rohit</t>
  </si>
  <si>
    <t>Keyboard</t>
  </si>
  <si>
    <t>ORD0008</t>
  </si>
  <si>
    <t>2025-09-27</t>
  </si>
  <si>
    <t>Rahul</t>
  </si>
  <si>
    <t>Bookshelf</t>
  </si>
  <si>
    <t>ORD0009</t>
  </si>
  <si>
    <t>2025-06-21</t>
  </si>
  <si>
    <t>Kolkata</t>
  </si>
  <si>
    <t>ORD0010</t>
  </si>
  <si>
    <t>2025-09-02</t>
  </si>
  <si>
    <t>Aman</t>
  </si>
  <si>
    <t>ORD0011</t>
  </si>
  <si>
    <t>2025-04-14</t>
  </si>
  <si>
    <t>Chair</t>
  </si>
  <si>
    <t>ORD0012</t>
  </si>
  <si>
    <t>2025-10-17</t>
  </si>
  <si>
    <t>Neha</t>
  </si>
  <si>
    <t>Chennai</t>
  </si>
  <si>
    <t>ORD0013</t>
  </si>
  <si>
    <t>2025-07-28</t>
  </si>
  <si>
    <t>ORD0014</t>
  </si>
  <si>
    <t>Bengaluru</t>
  </si>
  <si>
    <t>Table</t>
  </si>
  <si>
    <t>ORD0015</t>
  </si>
  <si>
    <t>2025-04-22</t>
  </si>
  <si>
    <t>Arjun</t>
  </si>
  <si>
    <t>Headphones</t>
  </si>
  <si>
    <t>ORD0016</t>
  </si>
  <si>
    <t>2025-12-17</t>
  </si>
  <si>
    <t>Aarav</t>
  </si>
  <si>
    <t>ORD0017</t>
  </si>
  <si>
    <t>2025-09-11</t>
  </si>
  <si>
    <t>ORD0018</t>
  </si>
  <si>
    <t>ORD0019</t>
  </si>
  <si>
    <t>2025-06-28</t>
  </si>
  <si>
    <t>Notebook</t>
  </si>
  <si>
    <t>ORD0020</t>
  </si>
  <si>
    <t>2025-07-31</t>
  </si>
  <si>
    <t>Jaipur</t>
  </si>
  <si>
    <t>ORD0021</t>
  </si>
  <si>
    <t>2025-08-12</t>
  </si>
  <si>
    <t>Sofa</t>
  </si>
  <si>
    <t>ORD0022</t>
  </si>
  <si>
    <t>2025-11-21</t>
  </si>
  <si>
    <t>ORD0023</t>
  </si>
  <si>
    <t>2025-09-06</t>
  </si>
  <si>
    <t>Ananya</t>
  </si>
  <si>
    <t>ORD0024</t>
  </si>
  <si>
    <t>2025-04-20</t>
  </si>
  <si>
    <t>Meera</t>
  </si>
  <si>
    <t>ORD0025</t>
  </si>
  <si>
    <t>2025-03-15</t>
  </si>
  <si>
    <t>ORD0026</t>
  </si>
  <si>
    <t>Nitin</t>
  </si>
  <si>
    <t>Printer Paper</t>
  </si>
  <si>
    <t>ORD0027</t>
  </si>
  <si>
    <t>ORD0028</t>
  </si>
  <si>
    <t>2025-11-01</t>
  </si>
  <si>
    <t>ORD0029</t>
  </si>
  <si>
    <t>2025-07-27</t>
  </si>
  <si>
    <t>ORD0030</t>
  </si>
  <si>
    <t>2025-07-18</t>
  </si>
  <si>
    <t>ORD0031</t>
  </si>
  <si>
    <t>2025-04-01</t>
  </si>
  <si>
    <t>ORD0032</t>
  </si>
  <si>
    <t>2025-12-18</t>
  </si>
  <si>
    <t>ORD0033</t>
  </si>
  <si>
    <t>ORD0034</t>
  </si>
  <si>
    <t>2025-03-17</t>
  </si>
  <si>
    <t>Vikas</t>
  </si>
  <si>
    <t>ORD0035</t>
  </si>
  <si>
    <t>2025-09-16</t>
  </si>
  <si>
    <t>Monitor</t>
  </si>
  <si>
    <t>ORD0036</t>
  </si>
  <si>
    <t>2025-02-10</t>
  </si>
  <si>
    <t>ORD0037</t>
  </si>
  <si>
    <t>2025-11-17</t>
  </si>
  <si>
    <t>ORD0038</t>
  </si>
  <si>
    <t>2025-08-09</t>
  </si>
  <si>
    <t>ORD0039</t>
  </si>
  <si>
    <t>2025-05-31</t>
  </si>
  <si>
    <t>ORD0040</t>
  </si>
  <si>
    <t>ORD0041</t>
  </si>
  <si>
    <t>2025-08-08</t>
  </si>
  <si>
    <t>ORD0042</t>
  </si>
  <si>
    <t>2025-10-27</t>
  </si>
  <si>
    <t>ORD0043</t>
  </si>
  <si>
    <t>2025-03-31</t>
  </si>
  <si>
    <t>ORD0044</t>
  </si>
  <si>
    <t>2025-03-10</t>
  </si>
  <si>
    <t>ORD0045</t>
  </si>
  <si>
    <t>2025-04-19</t>
  </si>
  <si>
    <t>ORD0046</t>
  </si>
  <si>
    <t>2025-12-11</t>
  </si>
  <si>
    <t>ORD0047</t>
  </si>
  <si>
    <t>2025-06-08</t>
  </si>
  <si>
    <t>ORD0048</t>
  </si>
  <si>
    <t>Pen</t>
  </si>
  <si>
    <t>ORD0049</t>
  </si>
  <si>
    <t>ORD0050</t>
  </si>
  <si>
    <t>2025-01-09</t>
  </si>
  <si>
    <t>Karan</t>
  </si>
  <si>
    <t>ORD0051</t>
  </si>
  <si>
    <t>ORD0052</t>
  </si>
  <si>
    <t>2025-05-28</t>
  </si>
  <si>
    <t>ORD0053</t>
  </si>
  <si>
    <t>2025-11-24</t>
  </si>
  <si>
    <t>ORD0054</t>
  </si>
  <si>
    <t>2025-05-08</t>
  </si>
  <si>
    <t>ORD0055</t>
  </si>
  <si>
    <t>2025-03-29</t>
  </si>
  <si>
    <t>ORD0056</t>
  </si>
  <si>
    <t>2025-04-12</t>
  </si>
  <si>
    <t>ORD0057</t>
  </si>
  <si>
    <t>2025-04-04</t>
  </si>
  <si>
    <t>ORD0058</t>
  </si>
  <si>
    <t>ORD0059</t>
  </si>
  <si>
    <t>2025-05-01</t>
  </si>
  <si>
    <t>ORD0060</t>
  </si>
  <si>
    <t>2025-06-14</t>
  </si>
  <si>
    <t>ORD0061</t>
  </si>
  <si>
    <t>2025-09-10</t>
  </si>
  <si>
    <t>ORD0062</t>
  </si>
  <si>
    <t>2025-05-27</t>
  </si>
  <si>
    <t>ORD0063</t>
  </si>
  <si>
    <t>2025-06-09</t>
  </si>
  <si>
    <t>ORD0064</t>
  </si>
  <si>
    <t>2025-04-27</t>
  </si>
  <si>
    <t>ORD0065</t>
  </si>
  <si>
    <t>2025-10-10</t>
  </si>
  <si>
    <t>ORD0066</t>
  </si>
  <si>
    <t>2025-12-09</t>
  </si>
  <si>
    <t>ORD0067</t>
  </si>
  <si>
    <t>2025-12-26</t>
  </si>
  <si>
    <t>ORD0068</t>
  </si>
  <si>
    <t>2025-09-28</t>
  </si>
  <si>
    <t>ORD0069</t>
  </si>
  <si>
    <t>2025-09-22</t>
  </si>
  <si>
    <t>ORD0070</t>
  </si>
  <si>
    <t>2025-11-03</t>
  </si>
  <si>
    <t>ORD0071</t>
  </si>
  <si>
    <t>2025-10-04</t>
  </si>
  <si>
    <t>ORD0072</t>
  </si>
  <si>
    <t>2025-12-14</t>
  </si>
  <si>
    <t>ORD0073</t>
  </si>
  <si>
    <t>2025-03-09</t>
  </si>
  <si>
    <t>ORD0074</t>
  </si>
  <si>
    <t>2025-02-27</t>
  </si>
  <si>
    <t>ORD0075</t>
  </si>
  <si>
    <t>2025-10-28</t>
  </si>
  <si>
    <t>ORD0076</t>
  </si>
  <si>
    <t>2025-05-23</t>
  </si>
  <si>
    <t>ORD0077</t>
  </si>
  <si>
    <t>2025-09-09</t>
  </si>
  <si>
    <t>ORD0078</t>
  </si>
  <si>
    <t>ORD0079</t>
  </si>
  <si>
    <t>2025-11-19</t>
  </si>
  <si>
    <t>ORD0080</t>
  </si>
  <si>
    <t>2025-09-04</t>
  </si>
  <si>
    <t>ORD0081</t>
  </si>
  <si>
    <t>2025-04-29</t>
  </si>
  <si>
    <t>ORD0082</t>
  </si>
  <si>
    <t>2025-07-15</t>
  </si>
  <si>
    <t>ORD0083</t>
  </si>
  <si>
    <t>ORD0084</t>
  </si>
  <si>
    <t>2025-10-03</t>
  </si>
  <si>
    <t>ORD0085</t>
  </si>
  <si>
    <t>2025-01-04</t>
  </si>
  <si>
    <t>ORD0086</t>
  </si>
  <si>
    <t>2025-01-18</t>
  </si>
  <si>
    <t>ORD0087</t>
  </si>
  <si>
    <t>2025-03-11</t>
  </si>
  <si>
    <t>ORD0088</t>
  </si>
  <si>
    <t>2025-04-17</t>
  </si>
  <si>
    <t>ORD0089</t>
  </si>
  <si>
    <t>2025-07-02</t>
  </si>
  <si>
    <t>ORD0090</t>
  </si>
  <si>
    <t>2025-03-08</t>
  </si>
  <si>
    <t>ORD0091</t>
  </si>
  <si>
    <t>2025-04-11</t>
  </si>
  <si>
    <t>ORD0092</t>
  </si>
  <si>
    <t>2025-02-28</t>
  </si>
  <si>
    <t>ORD0093</t>
  </si>
  <si>
    <t>2025-02-12</t>
  </si>
  <si>
    <t>ORD0094</t>
  </si>
  <si>
    <t>2025-04-13</t>
  </si>
  <si>
    <t>ORD0095</t>
  </si>
  <si>
    <t>2025-10-01</t>
  </si>
  <si>
    <t>ORD0096</t>
  </si>
  <si>
    <t>2025-02-21</t>
  </si>
  <si>
    <t>ORD0097</t>
  </si>
  <si>
    <t>ORD0098</t>
  </si>
  <si>
    <t>2025-01-15</t>
  </si>
  <si>
    <t>ORD0099</t>
  </si>
  <si>
    <t>2025-07-19</t>
  </si>
  <si>
    <t>ORD0100</t>
  </si>
  <si>
    <t>2025-05-12</t>
  </si>
  <si>
    <t>ORD0101</t>
  </si>
  <si>
    <t>2025-11-27</t>
  </si>
  <si>
    <t>ORD0102</t>
  </si>
  <si>
    <t>ORD0103</t>
  </si>
  <si>
    <t>2025-10-25</t>
  </si>
  <si>
    <t>ORD0104</t>
  </si>
  <si>
    <t>2025-01-20</t>
  </si>
  <si>
    <t>ORD0105</t>
  </si>
  <si>
    <t>2025-07-07</t>
  </si>
  <si>
    <t>ORD0106</t>
  </si>
  <si>
    <t>2025-07-22</t>
  </si>
  <si>
    <t>ORD0107</t>
  </si>
  <si>
    <t>ORD0108</t>
  </si>
  <si>
    <t>2025-05-21</t>
  </si>
  <si>
    <t>ORD0109</t>
  </si>
  <si>
    <t>2025-07-03</t>
  </si>
  <si>
    <t>ORD0110</t>
  </si>
  <si>
    <t>ORD0111</t>
  </si>
  <si>
    <t>2025-02-16</t>
  </si>
  <si>
    <t>ORD0112</t>
  </si>
  <si>
    <t>2025-02-14</t>
  </si>
  <si>
    <t>ORD0113</t>
  </si>
  <si>
    <t>2025-09-23</t>
  </si>
  <si>
    <t>ORD0114</t>
  </si>
  <si>
    <t>ORD0115</t>
  </si>
  <si>
    <t>2025-06-13</t>
  </si>
  <si>
    <t>ORD0116</t>
  </si>
  <si>
    <t>2025-06-16</t>
  </si>
  <si>
    <t>ORD0117</t>
  </si>
  <si>
    <t>2025-07-24</t>
  </si>
  <si>
    <t>ORD0118</t>
  </si>
  <si>
    <t>2025-05-09</t>
  </si>
  <si>
    <t>ORD0119</t>
  </si>
  <si>
    <t>2025-09-24</t>
  </si>
  <si>
    <t>ORD0120</t>
  </si>
  <si>
    <t>2025-10-16</t>
  </si>
  <si>
    <t>ORD0121</t>
  </si>
  <si>
    <t>2025-05-20</t>
  </si>
  <si>
    <t>ORD0122</t>
  </si>
  <si>
    <t>2025-11-05</t>
  </si>
  <si>
    <t>ORD0123</t>
  </si>
  <si>
    <t>2025-06-01</t>
  </si>
  <si>
    <t>ORD0124</t>
  </si>
  <si>
    <t>ORD0125</t>
  </si>
  <si>
    <t>ORD0126</t>
  </si>
  <si>
    <t>2025-06-30</t>
  </si>
  <si>
    <t>ORD0127</t>
  </si>
  <si>
    <t>2025-12-28</t>
  </si>
  <si>
    <t>ORD0128</t>
  </si>
  <si>
    <t>2025-06-29</t>
  </si>
  <si>
    <t>ORD0129</t>
  </si>
  <si>
    <t>2025-09-29</t>
  </si>
  <si>
    <t>ORD0130</t>
  </si>
  <si>
    <t>2025-11-06</t>
  </si>
  <si>
    <t>ORD0131</t>
  </si>
  <si>
    <t>2025-06-07</t>
  </si>
  <si>
    <t>ORD0132</t>
  </si>
  <si>
    <t>ORD0133</t>
  </si>
  <si>
    <t>ORD0134</t>
  </si>
  <si>
    <t>ORD0135</t>
  </si>
  <si>
    <t>2025-10-14</t>
  </si>
  <si>
    <t>ORD0136</t>
  </si>
  <si>
    <t>2025-12-24</t>
  </si>
  <si>
    <t>ORD0137</t>
  </si>
  <si>
    <t>ORD0138</t>
  </si>
  <si>
    <t>2025-01-21</t>
  </si>
  <si>
    <t>ORD0139</t>
  </si>
  <si>
    <t>ORD0140</t>
  </si>
  <si>
    <t>2025-03-05</t>
  </si>
  <si>
    <t>ORD0141</t>
  </si>
  <si>
    <t>2025-06-24</t>
  </si>
  <si>
    <t>ORD0142</t>
  </si>
  <si>
    <t>2025-11-15</t>
  </si>
  <si>
    <t>ORD0143</t>
  </si>
  <si>
    <t>ORD0144</t>
  </si>
  <si>
    <t>2025-11-04</t>
  </si>
  <si>
    <t>ORD0145</t>
  </si>
  <si>
    <t>2025-05-29</t>
  </si>
  <si>
    <t>ORD0146</t>
  </si>
  <si>
    <t>ORD0147</t>
  </si>
  <si>
    <t>ORD0148</t>
  </si>
  <si>
    <t>2025-07-25</t>
  </si>
  <si>
    <t>ORD0149</t>
  </si>
  <si>
    <t>2025-08-11</t>
  </si>
  <si>
    <t>ORD0150</t>
  </si>
  <si>
    <t>2025-11-02</t>
  </si>
  <si>
    <t>ORD0151</t>
  </si>
  <si>
    <t>2025-08-13</t>
  </si>
  <si>
    <t>ORD0152</t>
  </si>
  <si>
    <t>2025-05-25</t>
  </si>
  <si>
    <t>ORD0153</t>
  </si>
  <si>
    <t>2025-01-19</t>
  </si>
  <si>
    <t>ORD0154</t>
  </si>
  <si>
    <t>2025-08-04</t>
  </si>
  <si>
    <t>ORD0155</t>
  </si>
  <si>
    <t>2025-11-30</t>
  </si>
  <si>
    <t>ORD0156</t>
  </si>
  <si>
    <t>2025-11-20</t>
  </si>
  <si>
    <t>ORD0157</t>
  </si>
  <si>
    <t>2025-06-03</t>
  </si>
  <si>
    <t>ORD0158</t>
  </si>
  <si>
    <t>2025-07-21</t>
  </si>
  <si>
    <t>ORD0159</t>
  </si>
  <si>
    <t>ORD0160</t>
  </si>
  <si>
    <t>ORD0161</t>
  </si>
  <si>
    <t>2025-07-06</t>
  </si>
  <si>
    <t>ORD0162</t>
  </si>
  <si>
    <t>ORD0163</t>
  </si>
  <si>
    <t>ORD0164</t>
  </si>
  <si>
    <t>2025-02-26</t>
  </si>
  <si>
    <t>ORD0165</t>
  </si>
  <si>
    <t>2025-05-17</t>
  </si>
  <si>
    <t>ORD0166</t>
  </si>
  <si>
    <t>ORD0167</t>
  </si>
  <si>
    <t>2025-12-02</t>
  </si>
  <si>
    <t>ORD0168</t>
  </si>
  <si>
    <t>2025-01-14</t>
  </si>
  <si>
    <t>ORD0169</t>
  </si>
  <si>
    <t>2025-04-07</t>
  </si>
  <si>
    <t>ORD0170</t>
  </si>
  <si>
    <t>2025-10-30</t>
  </si>
  <si>
    <t>ORD0171</t>
  </si>
  <si>
    <t>2025-03-25</t>
  </si>
  <si>
    <t>ORD0172</t>
  </si>
  <si>
    <t>ORD0173</t>
  </si>
  <si>
    <t>ORD0174</t>
  </si>
  <si>
    <t>2025-08-03</t>
  </si>
  <si>
    <t>ORD0175</t>
  </si>
  <si>
    <t>2025-09-15</t>
  </si>
  <si>
    <t>ORD0176</t>
  </si>
  <si>
    <t>2025-12-21</t>
  </si>
  <si>
    <t>ORD0177</t>
  </si>
  <si>
    <t>2025-03-28</t>
  </si>
  <si>
    <t>ORD0178</t>
  </si>
  <si>
    <t>2025-06-12</t>
  </si>
  <si>
    <t>ORD0179</t>
  </si>
  <si>
    <t>ORD0180</t>
  </si>
  <si>
    <t>2025-08-07</t>
  </si>
  <si>
    <t>ORD0181</t>
  </si>
  <si>
    <t>2025-01-02</t>
  </si>
  <si>
    <t>ORD0182</t>
  </si>
  <si>
    <t>ORD0183</t>
  </si>
  <si>
    <t>2025-05-22</t>
  </si>
  <si>
    <t>ORD0184</t>
  </si>
  <si>
    <t>2025-02-01</t>
  </si>
  <si>
    <t>ORD0185</t>
  </si>
  <si>
    <t>ORD0186</t>
  </si>
  <si>
    <t>2025-02-08</t>
  </si>
  <si>
    <t>ORD0187</t>
  </si>
  <si>
    <t>2025-09-01</t>
  </si>
  <si>
    <t>ORD0188</t>
  </si>
  <si>
    <t>ORD0189</t>
  </si>
  <si>
    <t>2025-05-03</t>
  </si>
  <si>
    <t>ORD0190</t>
  </si>
  <si>
    <t>2025-03-01</t>
  </si>
  <si>
    <t>ORD0191</t>
  </si>
  <si>
    <t>2025-12-15</t>
  </si>
  <si>
    <t>ORD0192</t>
  </si>
  <si>
    <t>2025-12-08</t>
  </si>
  <si>
    <t>ORD0193</t>
  </si>
  <si>
    <t>ORD0194</t>
  </si>
  <si>
    <t>2025-12-22</t>
  </si>
  <si>
    <t>ORD0195</t>
  </si>
  <si>
    <t>ORD0196</t>
  </si>
  <si>
    <t>2025-06-26</t>
  </si>
  <si>
    <t>ORD0197</t>
  </si>
  <si>
    <t>2025-04-15</t>
  </si>
  <si>
    <t>ORD0198</t>
  </si>
  <si>
    <t>ORD0199</t>
  </si>
  <si>
    <t>2025-10-05</t>
  </si>
  <si>
    <t>ORD0200</t>
  </si>
  <si>
    <t>2025-06-02</t>
  </si>
  <si>
    <t>ORD0201</t>
  </si>
  <si>
    <t>2025-09-25</t>
  </si>
  <si>
    <t>ORD0202</t>
  </si>
  <si>
    <t>2025-04-08</t>
  </si>
  <si>
    <t>ORD0203</t>
  </si>
  <si>
    <t>ORD0204</t>
  </si>
  <si>
    <t>2025-08-28</t>
  </si>
  <si>
    <t>ORD0205</t>
  </si>
  <si>
    <t>ORD0206</t>
  </si>
  <si>
    <t>ORD0207</t>
  </si>
  <si>
    <t>2025-03-24</t>
  </si>
  <si>
    <t>ORD0208</t>
  </si>
  <si>
    <t>2025-02-22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</si>
  <si>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</si>
  <si>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</si>
  <si>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</si>
  <si>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</si>
  <si>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</si>
  <si>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</si>
  <si>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</si>
  <si>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</si>
  <si>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2025-06-10</t>
  </si>
  <si>
    <t>ORD0217</t>
  </si>
  <si>
    <t>ORD0218</t>
  </si>
  <si>
    <t>2025-05-16</t>
  </si>
  <si>
    <t>ORD0219</t>
  </si>
  <si>
    <t>ORD0220</t>
  </si>
  <si>
    <t>ORD0221</t>
  </si>
  <si>
    <t>ORD0222</t>
  </si>
  <si>
    <t>2025-12-13</t>
  </si>
  <si>
    <t>ORD0223</t>
  </si>
  <si>
    <t>2025-11-23</t>
  </si>
  <si>
    <t>ORD0224</t>
  </si>
  <si>
    <t>ORD0225</t>
  </si>
  <si>
    <t>2025-11-11</t>
  </si>
  <si>
    <t>ORD0226</t>
  </si>
  <si>
    <t>2025-03-18</t>
  </si>
  <si>
    <t>ORD0227</t>
  </si>
  <si>
    <t>2025-11-26</t>
  </si>
  <si>
    <t>ORD0228</t>
  </si>
  <si>
    <t>ORD0229</t>
  </si>
  <si>
    <t>2025-11-12</t>
  </si>
  <si>
    <t>ORD0230</t>
  </si>
  <si>
    <t>2025-03-13</t>
  </si>
  <si>
    <t>ORD0231</t>
  </si>
  <si>
    <t>2025-06-18</t>
  </si>
  <si>
    <t>ORD0232</t>
  </si>
  <si>
    <t>ORD0233</t>
  </si>
  <si>
    <t>2025-11-22</t>
  </si>
  <si>
    <t>ORD0234</t>
  </si>
  <si>
    <t>ORD0235</t>
  </si>
  <si>
    <t>ORD0236</t>
  </si>
  <si>
    <t>2025-12-06</t>
  </si>
  <si>
    <t>ORD0237</t>
  </si>
  <si>
    <t>ORD0238</t>
  </si>
  <si>
    <t>ORD0239</t>
  </si>
  <si>
    <t>2025-03-04</t>
  </si>
  <si>
    <t>ORD0240</t>
  </si>
  <si>
    <t>2025-08-24</t>
  </si>
  <si>
    <t>ORD0241</t>
  </si>
  <si>
    <t>2025-03-21</t>
  </si>
  <si>
    <t>ORD0242</t>
  </si>
  <si>
    <t>2025-07-29</t>
  </si>
  <si>
    <t>ORD0243</t>
  </si>
  <si>
    <t>2025-08-25</t>
  </si>
  <si>
    <t>ORD0244</t>
  </si>
  <si>
    <t>ORD0245</t>
  </si>
  <si>
    <t>2025-06-15</t>
  </si>
  <si>
    <t>ORD0246</t>
  </si>
  <si>
    <t>2025-05-13</t>
  </si>
  <si>
    <t>ORD0247</t>
  </si>
  <si>
    <t>2025-04-05</t>
  </si>
  <si>
    <t>ORD0248</t>
  </si>
  <si>
    <t>ORD0249</t>
  </si>
  <si>
    <t>2025-12-25</t>
  </si>
  <si>
    <t>ORD0250</t>
  </si>
  <si>
    <t>ORD0251</t>
  </si>
  <si>
    <t>ORD0252</t>
  </si>
  <si>
    <t>2025-12-29</t>
  </si>
  <si>
    <t>ORD0253</t>
  </si>
  <si>
    <t>2025-08-16</t>
  </si>
  <si>
    <t>ORD0254</t>
  </si>
  <si>
    <t>ORD0255</t>
  </si>
  <si>
    <t>2025-06-05</t>
  </si>
  <si>
    <t>ORD0256</t>
  </si>
  <si>
    <t>2025-03-06</t>
  </si>
  <si>
    <t>ORD0257</t>
  </si>
  <si>
    <t>ORD0258</t>
  </si>
  <si>
    <t>2025-09-13</t>
  </si>
  <si>
    <t>ORD0259</t>
  </si>
  <si>
    <t>ORD0260</t>
  </si>
  <si>
    <t>ORD0261</t>
  </si>
  <si>
    <t>ORD0262</t>
  </si>
  <si>
    <t>2025-10-07</t>
  </si>
  <si>
    <t>ORD0263</t>
  </si>
  <si>
    <t>2025-02-06</t>
  </si>
  <si>
    <t>ORD0264</t>
  </si>
  <si>
    <t>ORD0265</t>
  </si>
  <si>
    <t>ORD0266</t>
  </si>
  <si>
    <t>ORD0267</t>
  </si>
  <si>
    <t>2025-01-12</t>
  </si>
  <si>
    <t>ORD0268</t>
  </si>
  <si>
    <t>ORD0269</t>
  </si>
  <si>
    <t>ORD0270</t>
  </si>
  <si>
    <t>2025-10-02</t>
  </si>
  <si>
    <t>ORD0271</t>
  </si>
  <si>
    <t>2025-08-15</t>
  </si>
  <si>
    <t>ORD0272</t>
  </si>
  <si>
    <t>ORD0273</t>
  </si>
  <si>
    <t>ORD0274</t>
  </si>
  <si>
    <t>2025-05-24</t>
  </si>
  <si>
    <t>ORD0275</t>
  </si>
  <si>
    <t>2025-11-25</t>
  </si>
  <si>
    <t>ORD0276</t>
  </si>
  <si>
    <t>2025-08-06</t>
  </si>
  <si>
    <t>ORD0277</t>
  </si>
  <si>
    <t>2025-01-08</t>
  </si>
  <si>
    <t>ORD0278</t>
  </si>
  <si>
    <t>2025-04-23</t>
  </si>
  <si>
    <t>ORD0279</t>
  </si>
  <si>
    <t>ORD0280</t>
  </si>
  <si>
    <t>2025-01-27</t>
  </si>
  <si>
    <t>ORD0281</t>
  </si>
  <si>
    <t>ORD0282</t>
  </si>
  <si>
    <t>ORD0283</t>
  </si>
  <si>
    <t>2025-12-12</t>
  </si>
  <si>
    <t>ORD0284</t>
  </si>
  <si>
    <t>2025-01-16</t>
  </si>
  <si>
    <t>ORD0285</t>
  </si>
  <si>
    <t>2025-10-19</t>
  </si>
  <si>
    <t>ORD0286</t>
  </si>
  <si>
    <t>ORD0287</t>
  </si>
  <si>
    <t>ORD0288</t>
  </si>
  <si>
    <t>ORD0289</t>
  </si>
  <si>
    <t>2025-01-28</t>
  </si>
  <si>
    <t>ORD0290</t>
  </si>
  <si>
    <t>2025-11-16</t>
  </si>
  <si>
    <t>ORD0291</t>
  </si>
  <si>
    <t>2025-07-16</t>
  </si>
  <si>
    <t>ORD0292</t>
  </si>
  <si>
    <t>ORD0293</t>
  </si>
  <si>
    <t>2025-07-01</t>
  </si>
  <si>
    <t>ORD0294</t>
  </si>
  <si>
    <t>2025-02-17</t>
  </si>
  <si>
    <t>ORD0295</t>
  </si>
  <si>
    <t>2025-04-24</t>
  </si>
  <si>
    <t>ORD0296</t>
  </si>
  <si>
    <t>ORD0297</t>
  </si>
  <si>
    <t>2025-10-06</t>
  </si>
  <si>
    <t>ORD0298</t>
  </si>
  <si>
    <t>ORD0299</t>
  </si>
  <si>
    <t>2025-07-26</t>
  </si>
  <si>
    <t>ORD0300</t>
  </si>
  <si>
    <t>2025-02-20</t>
  </si>
  <si>
    <t>Month</t>
  </si>
  <si>
    <t>Total Sales</t>
  </si>
  <si>
    <t>* Total Sales</t>
  </si>
  <si>
    <t>* Total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</si>
  <si>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</si>
  <si>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</si>
  <si>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</si>
  <si>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</si>
  <si>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</si>
  <si>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</si>
  <si>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</si>
  <si>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</si>
  <si>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</si>
  <si>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</si>
  <si>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</si>
  <si>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</si>
  <si>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</si>
  <si>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Monthly Sales Trend</t>
  </si>
  <si>
    <t>Top 10 Products</t>
  </si>
  <si>
    <t>Worst Performing Products</t>
  </si>
  <si>
    <t>Highest Revenue City</t>
  </si>
  <si>
    <t>Discount vs Profit Analysis</t>
  </si>
  <si>
    <t>Sales by Category</t>
  </si>
  <si>
    <t>Discount Offered</t>
  </si>
  <si>
    <t>Top Cities</t>
  </si>
  <si>
    <t>Products</t>
  </si>
  <si>
    <t>Total Profit</t>
  </si>
  <si>
    <t>* Why are sales decreasing?</t>
  </si>
  <si>
    <t>* Which products perform best?</t>
  </si>
  <si>
    <t>* Which cities generate the highest revenue?</t>
  </si>
  <si>
    <t>* Which months are weak?</t>
  </si>
  <si>
    <t>* Which category needs attention?</t>
  </si>
  <si>
    <t>Sa;es are Not Decreasing They are just fluctuating</t>
  </si>
  <si>
    <t>Give 5 recommendations to increase sales.</t>
  </si>
  <si>
    <t>1. Increase Sales in Low-Performing Months</t>
  </si>
  <si>
    <t>Jan April August</t>
  </si>
  <si>
    <t>2. Promote Top-Selling Products</t>
  </si>
  <si>
    <t>3. Improve Performance of Low-Selling Products</t>
  </si>
  <si>
    <t>4. Expand Sales in High-Revenue Cities</t>
  </si>
  <si>
    <t>5. Optimize Discount Strategy</t>
  </si>
  <si>
    <r>
      <t>1.</t>
    </r>
    <r>
      <rPr>
        <sz val="11"/>
        <color theme="1"/>
        <rFont val="Calibri"/>
        <family val="2"/>
        <scheme val="minor"/>
      </rPr>
      <t xml:space="preserve"> Run targeted marketing campaigns during low-sales months (January, April, and August) to improve seasonal demand.</t>
    </r>
  </si>
  <si>
    <r>
      <t>2.</t>
    </r>
    <r>
      <rPr>
        <sz val="11"/>
        <color theme="1"/>
        <rFont val="Calibri"/>
        <family val="2"/>
        <scheme val="minor"/>
      </rPr>
      <t xml:space="preserve"> Increase inventory and promotions for top-performing products such as Cabinets and Headphones to maximize revenue.</t>
    </r>
  </si>
  <si>
    <r>
      <t>3.</t>
    </r>
    <r>
      <rPr>
        <sz val="11"/>
        <color theme="1"/>
        <rFont val="Calibri"/>
        <family val="2"/>
        <scheme val="minor"/>
      </rPr>
      <t xml:space="preserve"> Reassess low-performing products by improving pricing, bundling, or discontinuing items with consistently poor sales.</t>
    </r>
  </si>
  <si>
    <r>
      <t>4.</t>
    </r>
    <r>
      <rPr>
        <sz val="11"/>
        <color theme="1"/>
        <rFont val="Calibri"/>
        <family val="2"/>
        <scheme val="minor"/>
      </rPr>
      <t xml:space="preserve"> Expand marketing and customer retention efforts in high-revenue cities like Delhi, Mumbai, and Pune to increase market share.</t>
    </r>
  </si>
  <si>
    <r>
      <t>5.</t>
    </r>
    <r>
      <rPr>
        <sz val="11"/>
        <color theme="1"/>
        <rFont val="Calibri"/>
        <family val="2"/>
        <scheme val="minor"/>
      </rPr>
      <t xml:space="preserve"> Limit high discount offers, as discounts above 25–30% significantly reduce profitability. Focus on targeted promotions instead.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</si>
</sst>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[analysis.xlsx]Report!PivotTable1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Report!$C$6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Report!$B$7:$B$19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Report!$C$7:$C$19</c:f>
              <c:numCache>
                <c:formatCode>_("₹"* #,##0.00_);_("₹"* \(#,##0.00\);_("₹"* "-"??_);_(@_)</c:formatCode>
                <c:ptCount val="12"/>
                <c:pt idx="0">
                  <c:v>197533.35000000006</c:v>
                </c:pt>
                <c:pt idx="1">
                  <c:v>290636.89</c:v>
                </c:pt>
                <c:pt idx="2">
                  <c:v>306765.15000000002</c:v>
                </c:pt>
                <c:pt idx="3">
                  <c:v>196925.49000000002</c:v>
                </c:pt>
                <c:pt idx="4">
                  <c:v>249256.79999999996</c:v>
                </c:pt>
                <c:pt idx="5">
                  <c:v>322671.13</c:v>
                </c:pt>
                <c:pt idx="6">
                  <c:v>297677.15000000008</c:v>
                </c:pt>
                <c:pt idx="7">
                  <c:v>151978.68</c:v>
                </c:pt>
                <c:pt idx="8">
                  <c:v>267050.58999999997</c:v>
                </c:pt>
                <c:pt idx="9">
                  <c:v>260036.42</c:v>
                </c:pt>
                <c:pt idx="10">
                  <c:v>317176.03999999992</c:v>
                </c:pt>
                <c:pt idx="11">
                  <c:v>229191.82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93-405F-8847-1FBF624B0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06559"/>
        <c:axId val="207483183"/>
      </c:lineChart>
      <c:catAx>
        <c:axId val="2088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83183"/>
        <c:crosses val="autoZero"/>
        <c:auto val="1"/>
        <c:lblAlgn val="ctr"/>
        <c:lblOffset val="100"/>
        <c:noMultiLvlLbl val="0"/>
      </c:catAx>
      <c:valAx>
        <c:axId val="207483183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[analysis.xlsx]Report!PivotTable2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Report!$F$6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Report!$E$7:$E$17</c:f>
              <c:strCache>
                <c:ptCount val="10"/>
                <c:pt idx="0">
                  <c:v>Cabinet</c:v>
                </c:pt>
                <c:pt idx="1">
                  <c:v>Headphones</c:v>
                </c:pt>
                <c:pt idx="2">
                  <c:v>Chair</c:v>
                </c:pt>
                <c:pt idx="3">
                  <c:v>Mouse</c:v>
                </c:pt>
                <c:pt idx="4">
                  <c:v>Pen</c:v>
                </c:pt>
                <c:pt idx="5">
                  <c:v>Bookshelf</c:v>
                </c:pt>
                <c:pt idx="6">
                  <c:v>Table</c:v>
                </c:pt>
                <c:pt idx="7">
                  <c:v>Keyboard</c:v>
                </c:pt>
                <c:pt idx="8">
                  <c:v>Stapler</c:v>
                </c:pt>
                <c:pt idx="9">
                  <c:v>Notebook</c:v>
                </c:pt>
              </c:strCache>
            </c:strRef>
          </c:cat>
          <c:val>
            <c:numRef>
              <c:f>Report!$F$7:$F$17</c:f>
              <c:numCache>
                <c:formatCode>_("₹"* #,##0.00_);_("₹"* \(#,##0.00\);_("₹"* "-"??_);_(@_)</c:formatCode>
                <c:ptCount val="10"/>
                <c:pt idx="0">
                  <c:v>363909.09000000008</c:v>
                </c:pt>
                <c:pt idx="1">
                  <c:v>281224.89999999997</c:v>
                </c:pt>
                <c:pt idx="2">
                  <c:v>247824.71000000005</c:v>
                </c:pt>
                <c:pt idx="3">
                  <c:v>242019.73000000004</c:v>
                </c:pt>
                <c:pt idx="4">
                  <c:v>231490.29</c:v>
                </c:pt>
                <c:pt idx="5">
                  <c:v>220947.91</c:v>
                </c:pt>
                <c:pt idx="6">
                  <c:v>210081.14</c:v>
                </c:pt>
                <c:pt idx="7">
                  <c:v>203575.48</c:v>
                </c:pt>
                <c:pt idx="8">
                  <c:v>199662.21000000002</c:v>
                </c:pt>
                <c:pt idx="9">
                  <c:v>173309.06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1-42AC-A592-D590103538C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7044479"/>
        <c:axId val="1181689487"/>
      </c:barChart>
      <c:catAx>
        <c:axId val="12370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89487"/>
        <c:crosses val="autoZero"/>
        <c:auto val="1"/>
        <c:lblAlgn val="ctr"/>
        <c:lblOffset val="100"/>
        <c:noMultiLvlLbl val="0"/>
      </c:catAx>
      <c:valAx>
        <c:axId val="11816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4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[analysis.xlsx]Report!PivotTable3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Worst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Report!$F$23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Report!$E$24:$E$29</c:f>
              <c:strCache>
                <c:ptCount val="5"/>
                <c:pt idx="0">
                  <c:v>Sofa</c:v>
                </c:pt>
                <c:pt idx="1">
                  <c:v>Monitor</c:v>
                </c:pt>
                <c:pt idx="2">
                  <c:v>Laptop</c:v>
                </c:pt>
                <c:pt idx="3">
                  <c:v>Marker</c:v>
                </c:pt>
                <c:pt idx="4">
                  <c:v>Printer Paper</c:v>
                </c:pt>
              </c:strCache>
            </c:strRef>
          </c:cat>
          <c:val>
            <c:numRef>
              <c:f>Report!$F$24:$F$29</c:f>
              <c:numCache>
                <c:formatCode>_("₹"* #,##0.00_);_("₹"* \(#,##0.00\);_("₹"* "-"??_);_(@_)</c:formatCode>
                <c:ptCount val="5"/>
                <c:pt idx="0">
                  <c:v>112610.75</c:v>
                </c:pt>
                <c:pt idx="1">
                  <c:v>138238.39999999999</c:v>
                </c:pt>
                <c:pt idx="2">
                  <c:v>144694.89000000001</c:v>
                </c:pt>
                <c:pt idx="3">
                  <c:v>148690.78000000003</c:v>
                </c:pt>
                <c:pt idx="4">
                  <c:v>168620.16999999998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6-4F60-99A7-0371C7F1B2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5340991"/>
        <c:axId val="1181707247"/>
      </c:barChart>
      <c:catAx>
        <c:axId val="122534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07247"/>
        <c:crosses val="autoZero"/>
        <c:auto val="1"/>
        <c:lblAlgn val="ctr"/>
        <c:lblOffset val="100"/>
        <c:noMultiLvlLbl val="0"/>
      </c:catAx>
      <c:valAx>
        <c:axId val="1181707247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34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[analysis.xlsx]Report!PivotTable4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Highest Revenue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Report!$I$6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Report!$H$7:$H$15</c:f>
              <c:strCache>
                <c:ptCount val="8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  <c:pt idx="3">
                  <c:v>Bengaluru</c:v>
                </c:pt>
                <c:pt idx="4">
                  <c:v>Kolkata</c:v>
                </c:pt>
                <c:pt idx="5">
                  <c:v>Chennai</c:v>
                </c:pt>
                <c:pt idx="6">
                  <c:v>Jaipur</c:v>
                </c:pt>
                <c:pt idx="7">
                  <c:v>Hyderabad</c:v>
                </c:pt>
              </c:strCache>
            </c:strRef>
          </c:cat>
          <c:val>
            <c:numRef>
              <c:f>Report!$I$7:$I$15</c:f>
              <c:numCache>
                <c:formatCode>_("₹"* #,##0.00_);_("₹"* \(#,##0.00\);_("₹"* "-"??_);_(@_)</c:formatCode>
                <c:ptCount val="8"/>
                <c:pt idx="0">
                  <c:v>496464.23999999987</c:v>
                </c:pt>
                <c:pt idx="1">
                  <c:v>452258.28</c:v>
                </c:pt>
                <c:pt idx="2">
                  <c:v>434246.61</c:v>
                </c:pt>
                <c:pt idx="3">
                  <c:v>418057.46000000014</c:v>
                </c:pt>
                <c:pt idx="4">
                  <c:v>394661.58</c:v>
                </c:pt>
                <c:pt idx="5">
                  <c:v>333487.39</c:v>
                </c:pt>
                <c:pt idx="6">
                  <c:v>313010.51</c:v>
                </c:pt>
                <c:pt idx="7">
                  <c:v>244713.44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8-4D4E-8ABB-35626C9F3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7017583"/>
        <c:axId val="1235639279"/>
        <c:axId val="0"/>
      </c:bar3DChart>
      <c:catAx>
        <c:axId val="12370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39279"/>
        <c:crosses val="autoZero"/>
        <c:auto val="1"/>
        <c:lblAlgn val="ctr"/>
        <c:lblOffset val="100"/>
        <c:noMultiLvlLbl val="0"/>
      </c:catAx>
      <c:valAx>
        <c:axId val="1235639279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1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[analysis.xlsx]Report!PivotTable7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Discount vs Profit Analysis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Report!$C$23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Report!$B$24:$B$31</c:f>
              <c:strCach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strCache>
            </c:strRef>
          </c:cat>
          <c:val>
            <c:numRef>
              <c:f>Report!$C$24:$C$31</c:f>
              <c:numCache>
                <c:formatCode>_("₹"* #,##0.00_);_("₹"* \(#,##0.00\);_("₹"* "-"??_);_(@_)</c:formatCode>
                <c:ptCount val="7"/>
                <c:pt idx="0">
                  <c:v>88401.49000000002</c:v>
                </c:pt>
                <c:pt idx="1">
                  <c:v>44111.660000000011</c:v>
                </c:pt>
                <c:pt idx="2">
                  <c:v>58313.85000000002</c:v>
                </c:pt>
                <c:pt idx="3">
                  <c:v>28616.940000000002</c:v>
                </c:pt>
                <c:pt idx="4">
                  <c:v>14714.289999999999</c:v>
                </c:pt>
                <c:pt idx="5">
                  <c:v>6470.0400000000018</c:v>
                </c:pt>
                <c:pt idx="6">
                  <c:v>-599.48000000000047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7-4166-8798-3C3FA6364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114431"/>
        <c:axId val="1235609999"/>
      </c:lineChart>
      <c:catAx>
        <c:axId val="11071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09999"/>
        <c:crosses val="autoZero"/>
        <c:auto val="1"/>
        <c:lblAlgn val="ctr"/>
        <c:lblOffset val="100"/>
        <c:noMultiLvlLbl val="0"/>
      </c:catAx>
      <c:valAx>
        <c:axId val="1235609999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1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10</xdr:col>
      <xdr:colOff>0</xdr:colOff>
      <xdr:row>48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C1A294-8280-05C7-B674-3F79633BA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4</xdr:col>
      <xdr:colOff>1059180</xdr:colOff>
      <xdr:row>64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53206D-BBBD-4B4D-9A1B-5F78FE49B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4</xdr:col>
      <xdr:colOff>1059180</xdr:colOff>
      <xdr:row>80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D37F2D-AC3B-416A-AF74-FA17ED8F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10</xdr:col>
      <xdr:colOff>76200</xdr:colOff>
      <xdr:row>64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4DDCC5-E2DE-4AFD-B9C8-FCA120BC0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65</xdr:row>
      <xdr:rowOff>0</xdr:rowOff>
    </xdr:from>
    <xdr:to>
      <xdr:col>10</xdr:col>
      <xdr:colOff>76200</xdr:colOff>
      <xdr:row>80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B883C0-3111-4E6B-82D8-3B7F03669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ingh Rajput" refreshedDate="46238.96962152778" createdVersion="8" refreshedVersion="8" minRefreshableVersion="3" recordCount="300" xr:uid="{4A75D366-FD91-4C16-B605-4D057A4EB8C6}">
  <cacheSource type="worksheet">
    <worksheetSource name="Table1"/>
  </cacheSource>
  <cacheFields count="11">
    <cacheField name="Order ID" numFmtId="0">
      <sharedItems/>
    </cacheField>
    <cacheField name="Month" numFmtId="0">
      <sharedItems count="12">
        <s v="December"/>
        <s v="June"/>
        <s v="July"/>
        <s v="November"/>
        <s v="February"/>
        <s v="April"/>
        <s v="September"/>
        <s v="October"/>
        <s v="August"/>
        <s v="March"/>
        <s v="May"/>
        <s v="January"/>
      </sharedItems>
    </cacheField>
    <cacheField name="Date" numFmtId="0">
      <sharedItems/>
    </cacheField>
    <cacheField name="Customer Name" numFmtId="0">
      <sharedItems/>
    </cacheField>
    <cacheField name="City" numFmtId="0">
      <sharedItems count="8">
        <s v="Mumbai"/>
        <s v="Hyderabad"/>
        <s v="Delhi"/>
        <s v="Pune"/>
        <s v="Kolkata"/>
        <s v="Chennai"/>
        <s v="Bengaluru"/>
        <s v="Jaipur"/>
      </sharedItems>
    </cacheField>
    <cacheField name="Category" numFmtId="0">
      <sharedItems count="3">
        <s v="Office Supplies"/>
        <s v="Electronics"/>
        <s v="Furniture"/>
      </sharedItems>
    </cacheField>
    <cacheField name="Product" numFmtId="0">
      <sharedItems count="15">
        <s v="Stapler"/>
        <s v="Mouse"/>
        <s v="Laptop"/>
        <s v="Marker"/>
        <s v="Cabinet"/>
        <s v="Keyboard"/>
        <s v="Bookshelf"/>
        <s v="Chair"/>
        <s v="Table"/>
        <s v="Headphones"/>
        <s v="Notebook"/>
        <s v="Sofa"/>
        <s v="Printer Paper"/>
        <s v="Monitor"/>
        <s v="Pen"/>
      </sharedItems>
    </cacheField>
    <cacheField name="Quantity" numFmtId="2">
      <sharedItems containsSemiMixedTypes="0" containsString="0" containsNumber="1" containsInteger="1" minValue="1" maxValue="8"/>
    </cacheField>
    <cacheField name="Sales" numFmtId="44">
      <sharedItems containsSemiMixedTypes="0" containsString="0" containsNumber="1" minValue="308.98" maxValue="35145.660000000003"/>
    </cacheField>
    <cacheField name="Profit" numFmtId="44">
      <sharedItems containsSemiMixedTypes="0" containsString="0" containsNumber="1" minValue="-1334.94" maxValue="6352.99"/>
    </cacheField>
    <cacheField name="Discount" numFmtId="0">
      <sharedItems containsSemiMixedTypes="0" containsString="0" containsNumber="1" containsInteger="1" minValue="0" maxValue="30" count="7">
        <n v="10"/>
        <n v="30"/>
        <n v="25"/>
        <n v="0"/>
        <n v="5"/>
        <n v="15"/>
        <n v="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0001"/>
    <x v="0"/>
    <s v="2025-12-10"/>
    <s v="Riya"/>
    <x v="0"/>
    <x v="0"/>
    <x v="0"/>
    <n v="8"/>
    <n v="16202.45"/>
    <n v="2371.48"/>
    <x v="0"/>
  </r>
  <r>
    <s v="ORD0002"/>
    <x v="1"/>
    <s v="2025-06-20"/>
    <s v="Sneha"/>
    <x v="1"/>
    <x v="1"/>
    <x v="1"/>
    <n v="2"/>
    <n v="6374.36"/>
    <n v="-110.17"/>
    <x v="1"/>
  </r>
  <r>
    <s v="ORD0003"/>
    <x v="2"/>
    <s v="2025-07-10"/>
    <s v="Priya"/>
    <x v="2"/>
    <x v="1"/>
    <x v="2"/>
    <n v="4"/>
    <n v="3264.92"/>
    <n v="195.51"/>
    <x v="1"/>
  </r>
  <r>
    <s v="ORD0004"/>
    <x v="3"/>
    <s v="2025-11-10"/>
    <s v="Simran"/>
    <x v="3"/>
    <x v="1"/>
    <x v="2"/>
    <n v="1"/>
    <n v="2595.92"/>
    <n v="-182.66"/>
    <x v="2"/>
  </r>
  <r>
    <s v="ORD0005"/>
    <x v="4"/>
    <s v="2025-02-13"/>
    <s v="Priya"/>
    <x v="3"/>
    <x v="0"/>
    <x v="3"/>
    <n v="5"/>
    <n v="6695.89"/>
    <n v="-589.19000000000005"/>
    <x v="1"/>
  </r>
  <r>
    <s v="ORD0006"/>
    <x v="5"/>
    <s v="2025-04-02"/>
    <s v="Pooja"/>
    <x v="3"/>
    <x v="2"/>
    <x v="4"/>
    <n v="7"/>
    <n v="15978.57"/>
    <n v="-95.75"/>
    <x v="2"/>
  </r>
  <r>
    <s v="ORD0007"/>
    <x v="3"/>
    <s v="2025-11-18"/>
    <s v="Rohit"/>
    <x v="1"/>
    <x v="1"/>
    <x v="5"/>
    <n v="3"/>
    <n v="10417.86"/>
    <n v="1197.78"/>
    <x v="2"/>
  </r>
  <r>
    <s v="ORD0008"/>
    <x v="6"/>
    <s v="2025-09-27"/>
    <s v="Rahul"/>
    <x v="2"/>
    <x v="2"/>
    <x v="6"/>
    <n v="1"/>
    <n v="3764.19"/>
    <n v="545.11"/>
    <x v="3"/>
  </r>
  <r>
    <s v="ORD0009"/>
    <x v="1"/>
    <s v="2025-06-21"/>
    <s v="Rahul"/>
    <x v="4"/>
    <x v="0"/>
    <x v="0"/>
    <n v="7"/>
    <n v="29799.8"/>
    <n v="2673.5"/>
    <x v="3"/>
  </r>
  <r>
    <s v="ORD0010"/>
    <x v="6"/>
    <s v="2025-09-02"/>
    <s v="Aman"/>
    <x v="0"/>
    <x v="1"/>
    <x v="2"/>
    <n v="7"/>
    <n v="17969.77"/>
    <n v="2683.23"/>
    <x v="4"/>
  </r>
  <r>
    <s v="ORD0011"/>
    <x v="5"/>
    <s v="2025-04-14"/>
    <s v="Priya"/>
    <x v="2"/>
    <x v="2"/>
    <x v="7"/>
    <n v="8"/>
    <n v="26887.81"/>
    <n v="1153.94"/>
    <x v="2"/>
  </r>
  <r>
    <s v="ORD0012"/>
    <x v="7"/>
    <s v="2025-10-17"/>
    <s v="Neha"/>
    <x v="5"/>
    <x v="2"/>
    <x v="6"/>
    <n v="8"/>
    <n v="2245.4899999999998"/>
    <n v="362.81"/>
    <x v="0"/>
  </r>
  <r>
    <s v="ORD0013"/>
    <x v="2"/>
    <s v="2025-07-28"/>
    <s v="Riya"/>
    <x v="3"/>
    <x v="1"/>
    <x v="1"/>
    <n v="3"/>
    <n v="11791.92"/>
    <n v="1425.38"/>
    <x v="0"/>
  </r>
  <r>
    <s v="ORD0014"/>
    <x v="1"/>
    <s v="2025-06-21"/>
    <s v="Priya"/>
    <x v="6"/>
    <x v="2"/>
    <x v="8"/>
    <n v="4"/>
    <n v="17111.8"/>
    <n v="2612.6799999999998"/>
    <x v="3"/>
  </r>
  <r>
    <s v="ORD0015"/>
    <x v="5"/>
    <s v="2025-04-22"/>
    <s v="Arjun"/>
    <x v="1"/>
    <x v="1"/>
    <x v="9"/>
    <n v="2"/>
    <n v="7747.19"/>
    <n v="1461.91"/>
    <x v="3"/>
  </r>
  <r>
    <s v="ORD0016"/>
    <x v="0"/>
    <s v="2025-12-17"/>
    <s v="Aarav"/>
    <x v="0"/>
    <x v="0"/>
    <x v="3"/>
    <n v="1"/>
    <n v="369.91"/>
    <n v="51.11"/>
    <x v="5"/>
  </r>
  <r>
    <s v="ORD0017"/>
    <x v="6"/>
    <s v="2025-09-11"/>
    <s v="Riya"/>
    <x v="4"/>
    <x v="0"/>
    <x v="3"/>
    <n v="3"/>
    <n v="6005.76"/>
    <n v="-127.08"/>
    <x v="6"/>
  </r>
  <r>
    <s v="ORD0018"/>
    <x v="2"/>
    <s v="2025-07-10"/>
    <s v="Pooja"/>
    <x v="6"/>
    <x v="2"/>
    <x v="4"/>
    <n v="6"/>
    <n v="14245.94"/>
    <n v="98.23"/>
    <x v="2"/>
  </r>
  <r>
    <s v="ORD0019"/>
    <x v="1"/>
    <s v="2025-06-28"/>
    <s v="Rohit"/>
    <x v="4"/>
    <x v="0"/>
    <x v="10"/>
    <n v="6"/>
    <n v="14851.71"/>
    <n v="680.32"/>
    <x v="5"/>
  </r>
  <r>
    <s v="ORD0020"/>
    <x v="2"/>
    <s v="2025-07-31"/>
    <s v="Sneha"/>
    <x v="7"/>
    <x v="0"/>
    <x v="3"/>
    <n v="7"/>
    <n v="22279.21"/>
    <n v="-1077.5"/>
    <x v="2"/>
  </r>
  <r>
    <s v="ORD0021"/>
    <x v="8"/>
    <s v="2025-08-12"/>
    <s v="Aman"/>
    <x v="6"/>
    <x v="2"/>
    <x v="11"/>
    <n v="6"/>
    <n v="8686.49"/>
    <n v="1030.4000000000001"/>
    <x v="3"/>
  </r>
  <r>
    <s v="ORD0022"/>
    <x v="3"/>
    <s v="2025-11-21"/>
    <s v="Pooja"/>
    <x v="3"/>
    <x v="2"/>
    <x v="4"/>
    <n v="5"/>
    <n v="13924.53"/>
    <n v="1557.57"/>
    <x v="3"/>
  </r>
  <r>
    <s v="ORD0023"/>
    <x v="6"/>
    <s v="2025-09-06"/>
    <s v="Ananya"/>
    <x v="6"/>
    <x v="2"/>
    <x v="8"/>
    <n v="7"/>
    <n v="19256.05"/>
    <n v="340.7"/>
    <x v="5"/>
  </r>
  <r>
    <s v="ORD0024"/>
    <x v="5"/>
    <s v="2025-04-20"/>
    <s v="Meera"/>
    <x v="2"/>
    <x v="0"/>
    <x v="0"/>
    <n v="3"/>
    <n v="7600.43"/>
    <n v="-331.79"/>
    <x v="1"/>
  </r>
  <r>
    <s v="ORD0025"/>
    <x v="9"/>
    <s v="2025-03-15"/>
    <s v="Aman"/>
    <x v="7"/>
    <x v="2"/>
    <x v="7"/>
    <n v="7"/>
    <n v="21686.82"/>
    <n v="2313.65"/>
    <x v="0"/>
  </r>
  <r>
    <s v="ORD0026"/>
    <x v="0"/>
    <s v="2025-12-17"/>
    <s v="Nitin"/>
    <x v="5"/>
    <x v="0"/>
    <x v="12"/>
    <n v="5"/>
    <n v="8049.16"/>
    <n v="874.14"/>
    <x v="5"/>
  </r>
  <r>
    <s v="ORD0027"/>
    <x v="3"/>
    <s v="2025-11-10"/>
    <s v="Sneha"/>
    <x v="7"/>
    <x v="1"/>
    <x v="2"/>
    <n v="5"/>
    <n v="12264.8"/>
    <n v="731.57"/>
    <x v="1"/>
  </r>
  <r>
    <s v="ORD0028"/>
    <x v="3"/>
    <s v="2025-11-01"/>
    <s v="Sneha"/>
    <x v="2"/>
    <x v="2"/>
    <x v="8"/>
    <n v="5"/>
    <n v="6974.47"/>
    <n v="828.62"/>
    <x v="5"/>
  </r>
  <r>
    <s v="ORD0029"/>
    <x v="2"/>
    <s v="2025-07-27"/>
    <s v="Arjun"/>
    <x v="7"/>
    <x v="0"/>
    <x v="0"/>
    <n v="3"/>
    <n v="9833.9599999999991"/>
    <n v="115.95"/>
    <x v="1"/>
  </r>
  <r>
    <s v="ORD0030"/>
    <x v="2"/>
    <s v="2025-07-18"/>
    <s v="Rohit"/>
    <x v="1"/>
    <x v="0"/>
    <x v="0"/>
    <n v="4"/>
    <n v="7597.24"/>
    <n v="1251.8399999999999"/>
    <x v="4"/>
  </r>
  <r>
    <s v="ORD0031"/>
    <x v="5"/>
    <s v="2025-04-01"/>
    <s v="Aarav"/>
    <x v="2"/>
    <x v="1"/>
    <x v="2"/>
    <n v="5"/>
    <n v="9701.57"/>
    <n v="-13.38"/>
    <x v="6"/>
  </r>
  <r>
    <s v="ORD0032"/>
    <x v="0"/>
    <s v="2025-12-18"/>
    <s v="Rohit"/>
    <x v="2"/>
    <x v="2"/>
    <x v="4"/>
    <n v="8"/>
    <n v="35145.660000000003"/>
    <n v="6208.44"/>
    <x v="0"/>
  </r>
  <r>
    <s v="ORD0033"/>
    <x v="1"/>
    <s v="2025-06-28"/>
    <s v="Aman"/>
    <x v="0"/>
    <x v="1"/>
    <x v="9"/>
    <n v="2"/>
    <n v="3369.7"/>
    <n v="113.12"/>
    <x v="0"/>
  </r>
  <r>
    <s v="ORD0034"/>
    <x v="9"/>
    <s v="2025-03-17"/>
    <s v="Vikas"/>
    <x v="0"/>
    <x v="0"/>
    <x v="3"/>
    <n v="5"/>
    <n v="14644.28"/>
    <n v="1187.6199999999999"/>
    <x v="0"/>
  </r>
  <r>
    <s v="ORD0035"/>
    <x v="6"/>
    <s v="2025-09-16"/>
    <s v="Ananya"/>
    <x v="4"/>
    <x v="1"/>
    <x v="13"/>
    <n v="3"/>
    <n v="12930.23"/>
    <n v="1970.78"/>
    <x v="0"/>
  </r>
  <r>
    <s v="ORD0036"/>
    <x v="4"/>
    <s v="2025-02-10"/>
    <s v="Rahul"/>
    <x v="4"/>
    <x v="0"/>
    <x v="3"/>
    <n v="5"/>
    <n v="3570.09"/>
    <n v="416.93"/>
    <x v="5"/>
  </r>
  <r>
    <s v="ORD0037"/>
    <x v="3"/>
    <s v="2025-11-17"/>
    <s v="Meera"/>
    <x v="3"/>
    <x v="2"/>
    <x v="6"/>
    <n v="4"/>
    <n v="7852.95"/>
    <n v="1178.44"/>
    <x v="4"/>
  </r>
  <r>
    <s v="ORD0038"/>
    <x v="8"/>
    <s v="2025-08-09"/>
    <s v="Neha"/>
    <x v="3"/>
    <x v="2"/>
    <x v="6"/>
    <n v="6"/>
    <n v="3078.38"/>
    <n v="122.4"/>
    <x v="6"/>
  </r>
  <r>
    <s v="ORD0039"/>
    <x v="10"/>
    <s v="2025-05-31"/>
    <s v="Arjun"/>
    <x v="2"/>
    <x v="2"/>
    <x v="11"/>
    <n v="3"/>
    <n v="7536.18"/>
    <n v="921.75"/>
    <x v="4"/>
  </r>
  <r>
    <s v="ORD0040"/>
    <x v="1"/>
    <s v="2025-06-28"/>
    <s v="Simran"/>
    <x v="5"/>
    <x v="2"/>
    <x v="4"/>
    <n v="4"/>
    <n v="5825.85"/>
    <n v="519.46"/>
    <x v="6"/>
  </r>
  <r>
    <s v="ORD0041"/>
    <x v="8"/>
    <s v="2025-08-08"/>
    <s v="Vikas"/>
    <x v="3"/>
    <x v="1"/>
    <x v="5"/>
    <n v="8"/>
    <n v="2121.85"/>
    <n v="343.36"/>
    <x v="0"/>
  </r>
  <r>
    <s v="ORD0042"/>
    <x v="7"/>
    <s v="2025-10-27"/>
    <s v="Arjun"/>
    <x v="3"/>
    <x v="1"/>
    <x v="9"/>
    <n v="5"/>
    <n v="6366.79"/>
    <n v="924.4"/>
    <x v="6"/>
  </r>
  <r>
    <s v="ORD0043"/>
    <x v="9"/>
    <s v="2025-03-31"/>
    <s v="Riya"/>
    <x v="0"/>
    <x v="2"/>
    <x v="7"/>
    <n v="8"/>
    <n v="26590.05"/>
    <n v="1374.99"/>
    <x v="3"/>
  </r>
  <r>
    <s v="ORD0044"/>
    <x v="9"/>
    <s v="2025-03-10"/>
    <s v="Arjun"/>
    <x v="4"/>
    <x v="0"/>
    <x v="12"/>
    <n v="3"/>
    <n v="2584.09"/>
    <n v="161.25"/>
    <x v="0"/>
  </r>
  <r>
    <s v="ORD0045"/>
    <x v="5"/>
    <s v="2025-04-19"/>
    <s v="Nitin"/>
    <x v="0"/>
    <x v="1"/>
    <x v="2"/>
    <n v="2"/>
    <n v="3454.48"/>
    <n v="90.71"/>
    <x v="2"/>
  </r>
  <r>
    <s v="ORD0046"/>
    <x v="0"/>
    <s v="2025-12-11"/>
    <s v="Ananya"/>
    <x v="3"/>
    <x v="0"/>
    <x v="10"/>
    <n v="2"/>
    <n v="2141.37"/>
    <n v="142.81"/>
    <x v="1"/>
  </r>
  <r>
    <s v="ORD0047"/>
    <x v="1"/>
    <s v="2025-06-08"/>
    <s v="Simran"/>
    <x v="4"/>
    <x v="2"/>
    <x v="4"/>
    <n v="2"/>
    <n v="3111.87"/>
    <n v="272.56"/>
    <x v="4"/>
  </r>
  <r>
    <s v="ORD0048"/>
    <x v="3"/>
    <s v="2025-11-17"/>
    <s v="Priya"/>
    <x v="2"/>
    <x v="0"/>
    <x v="14"/>
    <n v="3"/>
    <n v="3011.41"/>
    <n v="42.87"/>
    <x v="6"/>
  </r>
  <r>
    <s v="ORD0049"/>
    <x v="6"/>
    <s v="2025-09-16"/>
    <s v="Sneha"/>
    <x v="3"/>
    <x v="1"/>
    <x v="9"/>
    <n v="1"/>
    <n v="2060.48"/>
    <n v="307.35000000000002"/>
    <x v="3"/>
  </r>
  <r>
    <s v="ORD0050"/>
    <x v="11"/>
    <s v="2025-01-09"/>
    <s v="Karan"/>
    <x v="6"/>
    <x v="0"/>
    <x v="14"/>
    <n v="6"/>
    <n v="5803.16"/>
    <n v="635.82000000000005"/>
    <x v="6"/>
  </r>
  <r>
    <s v="ORD0051"/>
    <x v="3"/>
    <s v="2025-11-17"/>
    <s v="Aarav"/>
    <x v="7"/>
    <x v="1"/>
    <x v="13"/>
    <n v="6"/>
    <n v="3300.79"/>
    <n v="307.45999999999998"/>
    <x v="4"/>
  </r>
  <r>
    <s v="ORD0052"/>
    <x v="10"/>
    <s v="2025-05-28"/>
    <s v="Riya"/>
    <x v="4"/>
    <x v="2"/>
    <x v="4"/>
    <n v="1"/>
    <n v="750.41"/>
    <n v="136.83000000000001"/>
    <x v="4"/>
  </r>
  <r>
    <s v="ORD0053"/>
    <x v="3"/>
    <s v="2025-11-24"/>
    <s v="Vikas"/>
    <x v="2"/>
    <x v="2"/>
    <x v="6"/>
    <n v="6"/>
    <n v="3779.73"/>
    <n v="-31.17"/>
    <x v="1"/>
  </r>
  <r>
    <s v="ORD0054"/>
    <x v="10"/>
    <s v="2025-05-08"/>
    <s v="Vikas"/>
    <x v="0"/>
    <x v="0"/>
    <x v="10"/>
    <n v="2"/>
    <n v="4620.34"/>
    <n v="-102.62"/>
    <x v="6"/>
  </r>
  <r>
    <s v="ORD0055"/>
    <x v="9"/>
    <s v="2025-03-29"/>
    <s v="Arjun"/>
    <x v="2"/>
    <x v="1"/>
    <x v="9"/>
    <n v="7"/>
    <n v="28042.02"/>
    <n v="3467.31"/>
    <x v="0"/>
  </r>
  <r>
    <s v="ORD0056"/>
    <x v="5"/>
    <s v="2025-04-12"/>
    <s v="Arjun"/>
    <x v="1"/>
    <x v="1"/>
    <x v="9"/>
    <n v="1"/>
    <n v="690.25"/>
    <n v="92.38"/>
    <x v="6"/>
  </r>
  <r>
    <s v="ORD0057"/>
    <x v="5"/>
    <s v="2025-04-04"/>
    <s v="Arjun"/>
    <x v="3"/>
    <x v="2"/>
    <x v="11"/>
    <n v="2"/>
    <n v="6120.02"/>
    <n v="-569.14"/>
    <x v="1"/>
  </r>
  <r>
    <s v="ORD0058"/>
    <x v="5"/>
    <s v="2025-04-19"/>
    <s v="Aman"/>
    <x v="6"/>
    <x v="2"/>
    <x v="8"/>
    <n v="3"/>
    <n v="2276.46"/>
    <n v="-13.3"/>
    <x v="5"/>
  </r>
  <r>
    <s v="ORD0059"/>
    <x v="10"/>
    <s v="2025-05-01"/>
    <s v="Vikas"/>
    <x v="3"/>
    <x v="1"/>
    <x v="9"/>
    <n v="2"/>
    <n v="9347.93"/>
    <n v="1235.03"/>
    <x v="4"/>
  </r>
  <r>
    <s v="ORD0060"/>
    <x v="1"/>
    <s v="2025-06-14"/>
    <s v="Nitin"/>
    <x v="1"/>
    <x v="2"/>
    <x v="4"/>
    <n v="5"/>
    <n v="17644.54"/>
    <n v="1729.93"/>
    <x v="5"/>
  </r>
  <r>
    <s v="ORD0061"/>
    <x v="6"/>
    <s v="2025-09-10"/>
    <s v="Rahul"/>
    <x v="3"/>
    <x v="2"/>
    <x v="4"/>
    <n v="6"/>
    <n v="21297.18"/>
    <n v="-873.46"/>
    <x v="6"/>
  </r>
  <r>
    <s v="ORD0062"/>
    <x v="10"/>
    <s v="2025-05-27"/>
    <s v="Neha"/>
    <x v="6"/>
    <x v="1"/>
    <x v="5"/>
    <n v="7"/>
    <n v="29623.43"/>
    <n v="3418.97"/>
    <x v="5"/>
  </r>
  <r>
    <s v="ORD0063"/>
    <x v="1"/>
    <s v="2025-06-09"/>
    <s v="Rohit"/>
    <x v="1"/>
    <x v="1"/>
    <x v="1"/>
    <n v="6"/>
    <n v="19564.8"/>
    <n v="1480.6"/>
    <x v="6"/>
  </r>
  <r>
    <s v="ORD0064"/>
    <x v="5"/>
    <s v="2025-04-27"/>
    <s v="Riya"/>
    <x v="7"/>
    <x v="2"/>
    <x v="6"/>
    <n v="1"/>
    <n v="446.13"/>
    <n v="-22.28"/>
    <x v="2"/>
  </r>
  <r>
    <s v="ORD0065"/>
    <x v="7"/>
    <s v="2025-10-10"/>
    <s v="Rahul"/>
    <x v="5"/>
    <x v="0"/>
    <x v="12"/>
    <n v="1"/>
    <n v="3062.02"/>
    <n v="629.96"/>
    <x v="3"/>
  </r>
  <r>
    <s v="ORD0066"/>
    <x v="0"/>
    <s v="2025-12-09"/>
    <s v="Arjun"/>
    <x v="2"/>
    <x v="1"/>
    <x v="2"/>
    <n v="2"/>
    <n v="2949.49"/>
    <n v="112.64"/>
    <x v="0"/>
  </r>
  <r>
    <s v="ORD0067"/>
    <x v="0"/>
    <s v="2025-12-26"/>
    <s v="Vikas"/>
    <x v="7"/>
    <x v="0"/>
    <x v="14"/>
    <n v="4"/>
    <n v="14462.68"/>
    <n v="1831.95"/>
    <x v="5"/>
  </r>
  <r>
    <s v="ORD0068"/>
    <x v="6"/>
    <s v="2025-09-28"/>
    <s v="Rahul"/>
    <x v="1"/>
    <x v="2"/>
    <x v="7"/>
    <n v="1"/>
    <n v="2891.4"/>
    <n v="366.05"/>
    <x v="4"/>
  </r>
  <r>
    <s v="ORD0069"/>
    <x v="6"/>
    <s v="2025-09-22"/>
    <s v="Aarav"/>
    <x v="0"/>
    <x v="2"/>
    <x v="6"/>
    <n v="7"/>
    <n v="18440.55"/>
    <n v="-444.03"/>
    <x v="2"/>
  </r>
  <r>
    <s v="ORD0070"/>
    <x v="3"/>
    <s v="2025-11-03"/>
    <s v="Priya"/>
    <x v="6"/>
    <x v="1"/>
    <x v="13"/>
    <n v="8"/>
    <n v="1981.98"/>
    <n v="113.24"/>
    <x v="2"/>
  </r>
  <r>
    <s v="ORD0071"/>
    <x v="7"/>
    <s v="2025-10-04"/>
    <s v="Arjun"/>
    <x v="4"/>
    <x v="2"/>
    <x v="7"/>
    <n v="3"/>
    <n v="11762.69"/>
    <n v="2003.7"/>
    <x v="5"/>
  </r>
  <r>
    <s v="ORD0072"/>
    <x v="0"/>
    <s v="2025-12-14"/>
    <s v="Aarav"/>
    <x v="7"/>
    <x v="2"/>
    <x v="11"/>
    <n v="2"/>
    <n v="1504.64"/>
    <n v="97.61"/>
    <x v="2"/>
  </r>
  <r>
    <s v="ORD0073"/>
    <x v="9"/>
    <s v="2025-03-09"/>
    <s v="Priya"/>
    <x v="5"/>
    <x v="0"/>
    <x v="0"/>
    <n v="7"/>
    <n v="11160.44"/>
    <n v="967.21"/>
    <x v="6"/>
  </r>
  <r>
    <s v="ORD0074"/>
    <x v="4"/>
    <s v="2025-02-27"/>
    <s v="Sneha"/>
    <x v="0"/>
    <x v="1"/>
    <x v="1"/>
    <n v="4"/>
    <n v="13463.66"/>
    <n v="-349.09"/>
    <x v="1"/>
  </r>
  <r>
    <s v="ORD0075"/>
    <x v="7"/>
    <s v="2025-10-28"/>
    <s v="Sneha"/>
    <x v="5"/>
    <x v="0"/>
    <x v="14"/>
    <n v="8"/>
    <n v="17998.560000000001"/>
    <n v="3331.66"/>
    <x v="4"/>
  </r>
  <r>
    <s v="ORD0076"/>
    <x v="10"/>
    <s v="2025-05-23"/>
    <s v="Vikas"/>
    <x v="0"/>
    <x v="0"/>
    <x v="12"/>
    <n v="5"/>
    <n v="23692.37"/>
    <n v="4165.3999999999996"/>
    <x v="3"/>
  </r>
  <r>
    <s v="ORD0077"/>
    <x v="6"/>
    <s v="2025-09-09"/>
    <s v="Nitin"/>
    <x v="1"/>
    <x v="0"/>
    <x v="0"/>
    <n v="6"/>
    <n v="3049.59"/>
    <n v="718.23"/>
    <x v="3"/>
  </r>
  <r>
    <s v="ORD0078"/>
    <x v="10"/>
    <s v="2025-05-28"/>
    <s v="Simran"/>
    <x v="2"/>
    <x v="0"/>
    <x v="14"/>
    <n v="1"/>
    <n v="3037.78"/>
    <n v="127.38"/>
    <x v="4"/>
  </r>
  <r>
    <s v="ORD0079"/>
    <x v="3"/>
    <s v="2025-11-19"/>
    <s v="Nitin"/>
    <x v="7"/>
    <x v="2"/>
    <x v="8"/>
    <n v="4"/>
    <n v="11231.02"/>
    <n v="-764.95"/>
    <x v="1"/>
  </r>
  <r>
    <s v="ORD0080"/>
    <x v="6"/>
    <s v="2025-09-04"/>
    <s v="Rohit"/>
    <x v="1"/>
    <x v="2"/>
    <x v="4"/>
    <n v="7"/>
    <n v="21075.3"/>
    <n v="765.2"/>
    <x v="4"/>
  </r>
  <r>
    <s v="ORD0081"/>
    <x v="5"/>
    <s v="2025-04-29"/>
    <s v="Priya"/>
    <x v="0"/>
    <x v="2"/>
    <x v="4"/>
    <n v="3"/>
    <n v="1445.98"/>
    <n v="89.16"/>
    <x v="5"/>
  </r>
  <r>
    <s v="ORD0082"/>
    <x v="2"/>
    <s v="2025-07-15"/>
    <s v="Rohit"/>
    <x v="5"/>
    <x v="0"/>
    <x v="3"/>
    <n v="6"/>
    <n v="1910.75"/>
    <n v="316.82"/>
    <x v="5"/>
  </r>
  <r>
    <s v="ORD0083"/>
    <x v="10"/>
    <s v="2025-05-27"/>
    <s v="Arjun"/>
    <x v="2"/>
    <x v="0"/>
    <x v="3"/>
    <n v="7"/>
    <n v="3164.12"/>
    <n v="377.69"/>
    <x v="5"/>
  </r>
  <r>
    <s v="ORD0084"/>
    <x v="7"/>
    <s v="2025-10-03"/>
    <s v="Nitin"/>
    <x v="7"/>
    <x v="2"/>
    <x v="7"/>
    <n v="6"/>
    <n v="19627.060000000001"/>
    <n v="137.29"/>
    <x v="6"/>
  </r>
  <r>
    <s v="ORD0085"/>
    <x v="11"/>
    <s v="2025-01-04"/>
    <s v="Vikas"/>
    <x v="4"/>
    <x v="2"/>
    <x v="4"/>
    <n v="5"/>
    <n v="17784.810000000001"/>
    <n v="2297.5300000000002"/>
    <x v="0"/>
  </r>
  <r>
    <s v="ORD0086"/>
    <x v="11"/>
    <s v="2025-01-18"/>
    <s v="Priya"/>
    <x v="7"/>
    <x v="2"/>
    <x v="4"/>
    <n v="6"/>
    <n v="24100.58"/>
    <n v="2766.71"/>
    <x v="5"/>
  </r>
  <r>
    <s v="ORD0087"/>
    <x v="9"/>
    <s v="2025-03-11"/>
    <s v="Meera"/>
    <x v="3"/>
    <x v="1"/>
    <x v="13"/>
    <n v="2"/>
    <n v="7236.66"/>
    <n v="1245.68"/>
    <x v="4"/>
  </r>
  <r>
    <s v="ORD0088"/>
    <x v="5"/>
    <s v="2025-04-17"/>
    <s v="Pooja"/>
    <x v="4"/>
    <x v="2"/>
    <x v="7"/>
    <n v="2"/>
    <n v="1496.62"/>
    <n v="87.53"/>
    <x v="1"/>
  </r>
  <r>
    <s v="ORD0089"/>
    <x v="2"/>
    <s v="2025-07-02"/>
    <s v="Rohit"/>
    <x v="2"/>
    <x v="2"/>
    <x v="6"/>
    <n v="1"/>
    <n v="3177.64"/>
    <n v="278.02999999999997"/>
    <x v="1"/>
  </r>
  <r>
    <s v="ORD0090"/>
    <x v="9"/>
    <s v="2025-03-08"/>
    <s v="Neha"/>
    <x v="5"/>
    <x v="0"/>
    <x v="0"/>
    <n v="7"/>
    <n v="1596.97"/>
    <n v="356.51"/>
    <x v="3"/>
  </r>
  <r>
    <s v="ORD0091"/>
    <x v="5"/>
    <s v="2025-04-11"/>
    <s v="Simran"/>
    <x v="6"/>
    <x v="2"/>
    <x v="4"/>
    <n v="5"/>
    <n v="9922.57"/>
    <n v="969.34"/>
    <x v="2"/>
  </r>
  <r>
    <s v="ORD0092"/>
    <x v="4"/>
    <s v="2025-02-28"/>
    <s v="Simran"/>
    <x v="3"/>
    <x v="0"/>
    <x v="14"/>
    <n v="6"/>
    <n v="20383.330000000002"/>
    <n v="2599.2399999999998"/>
    <x v="4"/>
  </r>
  <r>
    <s v="ORD0093"/>
    <x v="4"/>
    <s v="2025-02-12"/>
    <s v="Meera"/>
    <x v="2"/>
    <x v="1"/>
    <x v="13"/>
    <n v="8"/>
    <n v="18382.7"/>
    <n v="1343.99"/>
    <x v="0"/>
  </r>
  <r>
    <s v="ORD0094"/>
    <x v="5"/>
    <s v="2025-04-13"/>
    <s v="Aarav"/>
    <x v="0"/>
    <x v="0"/>
    <x v="10"/>
    <n v="5"/>
    <n v="13172.8"/>
    <n v="-447.12"/>
    <x v="6"/>
  </r>
  <r>
    <s v="ORD0095"/>
    <x v="7"/>
    <s v="2025-10-01"/>
    <s v="Riya"/>
    <x v="6"/>
    <x v="2"/>
    <x v="4"/>
    <n v="7"/>
    <n v="21683.59"/>
    <n v="1539.21"/>
    <x v="5"/>
  </r>
  <r>
    <s v="ORD0096"/>
    <x v="4"/>
    <s v="2025-02-21"/>
    <s v="Vikas"/>
    <x v="1"/>
    <x v="1"/>
    <x v="5"/>
    <n v="5"/>
    <n v="1199.6099999999999"/>
    <n v="5.54"/>
    <x v="5"/>
  </r>
  <r>
    <s v="ORD0097"/>
    <x v="7"/>
    <s v="2025-10-28"/>
    <s v="Ananya"/>
    <x v="1"/>
    <x v="1"/>
    <x v="9"/>
    <n v="6"/>
    <n v="11838.82"/>
    <n v="252.47"/>
    <x v="2"/>
  </r>
  <r>
    <s v="ORD0098"/>
    <x v="11"/>
    <s v="2025-01-15"/>
    <s v="Karan"/>
    <x v="0"/>
    <x v="1"/>
    <x v="2"/>
    <n v="4"/>
    <n v="14767.42"/>
    <n v="1670.42"/>
    <x v="6"/>
  </r>
  <r>
    <s v="ORD0099"/>
    <x v="2"/>
    <s v="2025-07-19"/>
    <s v="Arjun"/>
    <x v="0"/>
    <x v="1"/>
    <x v="9"/>
    <n v="7"/>
    <n v="14012.3"/>
    <n v="-650.84"/>
    <x v="1"/>
  </r>
  <r>
    <s v="ORD0100"/>
    <x v="10"/>
    <s v="2025-05-12"/>
    <s v="Aman"/>
    <x v="3"/>
    <x v="0"/>
    <x v="0"/>
    <n v="8"/>
    <n v="8032.76"/>
    <n v="611.5"/>
    <x v="3"/>
  </r>
  <r>
    <s v="ORD0101"/>
    <x v="3"/>
    <s v="2025-11-27"/>
    <s v="Vikas"/>
    <x v="5"/>
    <x v="0"/>
    <x v="14"/>
    <n v="1"/>
    <n v="3884.5"/>
    <n v="-156.97999999999999"/>
    <x v="6"/>
  </r>
  <r>
    <s v="ORD0102"/>
    <x v="6"/>
    <s v="2025-09-06"/>
    <s v="Simran"/>
    <x v="6"/>
    <x v="0"/>
    <x v="14"/>
    <n v="4"/>
    <n v="11235.52"/>
    <n v="2457"/>
    <x v="4"/>
  </r>
  <r>
    <s v="ORD0103"/>
    <x v="7"/>
    <s v="2025-10-25"/>
    <s v="Aarav"/>
    <x v="6"/>
    <x v="2"/>
    <x v="8"/>
    <n v="5"/>
    <n v="18345.189999999999"/>
    <n v="1716.11"/>
    <x v="2"/>
  </r>
  <r>
    <s v="ORD0104"/>
    <x v="11"/>
    <s v="2025-01-20"/>
    <s v="Rohit"/>
    <x v="1"/>
    <x v="0"/>
    <x v="10"/>
    <n v="8"/>
    <n v="9159.07"/>
    <n v="1515.2"/>
    <x v="0"/>
  </r>
  <r>
    <s v="ORD0105"/>
    <x v="2"/>
    <s v="2025-07-07"/>
    <s v="Simran"/>
    <x v="0"/>
    <x v="1"/>
    <x v="2"/>
    <n v="1"/>
    <n v="3114.16"/>
    <n v="506"/>
    <x v="0"/>
  </r>
  <r>
    <s v="ORD0106"/>
    <x v="2"/>
    <s v="2025-07-22"/>
    <s v="Rahul"/>
    <x v="2"/>
    <x v="1"/>
    <x v="5"/>
    <n v="2"/>
    <n v="4105.1400000000003"/>
    <n v="474"/>
    <x v="6"/>
  </r>
  <r>
    <s v="ORD0107"/>
    <x v="9"/>
    <s v="2025-03-17"/>
    <s v="Neha"/>
    <x v="6"/>
    <x v="0"/>
    <x v="10"/>
    <n v="8"/>
    <n v="32898.36"/>
    <n v="521.36"/>
    <x v="0"/>
  </r>
  <r>
    <s v="ORD0108"/>
    <x v="10"/>
    <s v="2025-05-21"/>
    <s v="Vikas"/>
    <x v="5"/>
    <x v="2"/>
    <x v="8"/>
    <n v="6"/>
    <n v="17628.09"/>
    <n v="1845.12"/>
    <x v="2"/>
  </r>
  <r>
    <s v="ORD0109"/>
    <x v="2"/>
    <s v="2025-07-03"/>
    <s v="Priya"/>
    <x v="3"/>
    <x v="1"/>
    <x v="1"/>
    <n v="7"/>
    <n v="3997.42"/>
    <n v="779.74"/>
    <x v="0"/>
  </r>
  <r>
    <s v="ORD0110"/>
    <x v="2"/>
    <s v="2025-07-22"/>
    <s v="Karan"/>
    <x v="6"/>
    <x v="1"/>
    <x v="1"/>
    <n v="1"/>
    <n v="1216.76"/>
    <n v="138.03"/>
    <x v="2"/>
  </r>
  <r>
    <s v="ORD0111"/>
    <x v="4"/>
    <s v="2025-02-16"/>
    <s v="Pooja"/>
    <x v="2"/>
    <x v="0"/>
    <x v="14"/>
    <n v="8"/>
    <n v="4022.2"/>
    <n v="-37.380000000000003"/>
    <x v="1"/>
  </r>
  <r>
    <s v="ORD0112"/>
    <x v="4"/>
    <s v="2025-02-14"/>
    <s v="Karan"/>
    <x v="5"/>
    <x v="2"/>
    <x v="6"/>
    <n v="3"/>
    <n v="4829.01"/>
    <n v="-74.63"/>
    <x v="1"/>
  </r>
  <r>
    <s v="ORD0113"/>
    <x v="6"/>
    <s v="2025-09-23"/>
    <s v="Vikas"/>
    <x v="2"/>
    <x v="1"/>
    <x v="1"/>
    <n v="3"/>
    <n v="4376.8599999999997"/>
    <n v="89.66"/>
    <x v="2"/>
  </r>
  <r>
    <s v="ORD0114"/>
    <x v="9"/>
    <s v="2025-03-15"/>
    <s v="Simran"/>
    <x v="5"/>
    <x v="2"/>
    <x v="8"/>
    <n v="3"/>
    <n v="1448.95"/>
    <n v="-37.869999999999997"/>
    <x v="6"/>
  </r>
  <r>
    <s v="ORD0115"/>
    <x v="1"/>
    <s v="2025-06-13"/>
    <s v="Karan"/>
    <x v="7"/>
    <x v="0"/>
    <x v="12"/>
    <n v="7"/>
    <n v="3331.84"/>
    <n v="74.540000000000006"/>
    <x v="1"/>
  </r>
  <r>
    <s v="ORD0116"/>
    <x v="1"/>
    <s v="2025-06-16"/>
    <s v="Aman"/>
    <x v="1"/>
    <x v="0"/>
    <x v="14"/>
    <n v="6"/>
    <n v="14524.91"/>
    <n v="2279.33"/>
    <x v="0"/>
  </r>
  <r>
    <s v="ORD0117"/>
    <x v="2"/>
    <s v="2025-07-24"/>
    <s v="Rahul"/>
    <x v="0"/>
    <x v="2"/>
    <x v="7"/>
    <n v="6"/>
    <n v="21177.77"/>
    <n v="-72.63"/>
    <x v="2"/>
  </r>
  <r>
    <s v="ORD0118"/>
    <x v="10"/>
    <s v="2025-05-09"/>
    <s v="Ananya"/>
    <x v="5"/>
    <x v="1"/>
    <x v="5"/>
    <n v="5"/>
    <n v="835.95"/>
    <n v="109.64"/>
    <x v="6"/>
  </r>
  <r>
    <s v="ORD0119"/>
    <x v="6"/>
    <s v="2025-09-24"/>
    <s v="Karan"/>
    <x v="4"/>
    <x v="2"/>
    <x v="7"/>
    <n v="4"/>
    <n v="13204.48"/>
    <n v="750.36"/>
    <x v="1"/>
  </r>
  <r>
    <s v="ORD0120"/>
    <x v="7"/>
    <s v="2025-10-16"/>
    <s v="Sneha"/>
    <x v="7"/>
    <x v="1"/>
    <x v="13"/>
    <n v="5"/>
    <n v="13120.1"/>
    <n v="983.54"/>
    <x v="1"/>
  </r>
  <r>
    <s v="ORD0121"/>
    <x v="10"/>
    <s v="2025-05-20"/>
    <s v="Neha"/>
    <x v="3"/>
    <x v="1"/>
    <x v="1"/>
    <n v="5"/>
    <n v="11306.31"/>
    <n v="1596.32"/>
    <x v="0"/>
  </r>
  <r>
    <s v="ORD0122"/>
    <x v="3"/>
    <s v="2025-11-05"/>
    <s v="Vikas"/>
    <x v="5"/>
    <x v="0"/>
    <x v="10"/>
    <n v="3"/>
    <n v="4390.2299999999996"/>
    <n v="260.3"/>
    <x v="1"/>
  </r>
  <r>
    <s v="ORD0123"/>
    <x v="1"/>
    <s v="2025-06-01"/>
    <s v="Pooja"/>
    <x v="6"/>
    <x v="1"/>
    <x v="5"/>
    <n v="7"/>
    <n v="4608.29"/>
    <n v="766.26"/>
    <x v="5"/>
  </r>
  <r>
    <s v="ORD0124"/>
    <x v="4"/>
    <s v="2025-02-13"/>
    <s v="Aarav"/>
    <x v="6"/>
    <x v="2"/>
    <x v="11"/>
    <n v="6"/>
    <n v="13651.75"/>
    <n v="2062.92"/>
    <x v="4"/>
  </r>
  <r>
    <s v="ORD0125"/>
    <x v="7"/>
    <s v="2025-10-27"/>
    <s v="Pooja"/>
    <x v="0"/>
    <x v="0"/>
    <x v="10"/>
    <n v="5"/>
    <n v="4031.99"/>
    <n v="-23.12"/>
    <x v="1"/>
  </r>
  <r>
    <s v="ORD0126"/>
    <x v="1"/>
    <s v="2025-06-30"/>
    <s v="Neha"/>
    <x v="2"/>
    <x v="0"/>
    <x v="14"/>
    <n v="4"/>
    <n v="14857.4"/>
    <n v="3033.92"/>
    <x v="4"/>
  </r>
  <r>
    <s v="ORD0127"/>
    <x v="0"/>
    <s v="2025-12-28"/>
    <s v="Rohit"/>
    <x v="5"/>
    <x v="0"/>
    <x v="14"/>
    <n v="6"/>
    <n v="17643.939999999999"/>
    <n v="1416.53"/>
    <x v="6"/>
  </r>
  <r>
    <s v="ORD0128"/>
    <x v="1"/>
    <s v="2025-06-29"/>
    <s v="Neha"/>
    <x v="4"/>
    <x v="1"/>
    <x v="2"/>
    <n v="8"/>
    <n v="13868.58"/>
    <n v="3053.02"/>
    <x v="3"/>
  </r>
  <r>
    <s v="ORD0129"/>
    <x v="6"/>
    <s v="2025-09-29"/>
    <s v="Meera"/>
    <x v="3"/>
    <x v="0"/>
    <x v="0"/>
    <n v="1"/>
    <n v="656.89"/>
    <n v="113.58"/>
    <x v="4"/>
  </r>
  <r>
    <s v="ORD0130"/>
    <x v="3"/>
    <s v="2025-11-06"/>
    <s v="Pooja"/>
    <x v="4"/>
    <x v="2"/>
    <x v="8"/>
    <n v="6"/>
    <n v="6410.36"/>
    <n v="-106.69"/>
    <x v="1"/>
  </r>
  <r>
    <s v="ORD0131"/>
    <x v="1"/>
    <s v="2025-06-07"/>
    <s v="Neha"/>
    <x v="3"/>
    <x v="2"/>
    <x v="4"/>
    <n v="6"/>
    <n v="13391.78"/>
    <n v="829.45"/>
    <x v="3"/>
  </r>
  <r>
    <s v="ORD0132"/>
    <x v="4"/>
    <s v="2025-02-16"/>
    <s v="Aarav"/>
    <x v="3"/>
    <x v="2"/>
    <x v="8"/>
    <n v="2"/>
    <n v="8315.42"/>
    <n v="1222.46"/>
    <x v="5"/>
  </r>
  <r>
    <s v="ORD0133"/>
    <x v="9"/>
    <s v="2025-03-17"/>
    <s v="Nitin"/>
    <x v="7"/>
    <x v="2"/>
    <x v="4"/>
    <n v="1"/>
    <n v="2097.4699999999998"/>
    <n v="156.87"/>
    <x v="5"/>
  </r>
  <r>
    <s v="ORD0134"/>
    <x v="0"/>
    <s v="2025-12-09"/>
    <s v="Pooja"/>
    <x v="7"/>
    <x v="1"/>
    <x v="9"/>
    <n v="6"/>
    <n v="3897.92"/>
    <n v="960.47"/>
    <x v="3"/>
  </r>
  <r>
    <s v="ORD0135"/>
    <x v="7"/>
    <s v="2025-10-14"/>
    <s v="Riya"/>
    <x v="5"/>
    <x v="1"/>
    <x v="5"/>
    <n v="2"/>
    <n v="2443.84"/>
    <n v="421.57"/>
    <x v="0"/>
  </r>
  <r>
    <s v="ORD0136"/>
    <x v="0"/>
    <s v="2025-12-24"/>
    <s v="Aarav"/>
    <x v="6"/>
    <x v="2"/>
    <x v="11"/>
    <n v="3"/>
    <n v="2771.86"/>
    <n v="-168.54"/>
    <x v="2"/>
  </r>
  <r>
    <s v="ORD0137"/>
    <x v="2"/>
    <s v="2025-07-18"/>
    <s v="Pooja"/>
    <x v="0"/>
    <x v="2"/>
    <x v="4"/>
    <n v="7"/>
    <n v="26012.66"/>
    <n v="1960.14"/>
    <x v="0"/>
  </r>
  <r>
    <s v="ORD0138"/>
    <x v="11"/>
    <s v="2025-01-21"/>
    <s v="Riya"/>
    <x v="1"/>
    <x v="1"/>
    <x v="2"/>
    <n v="4"/>
    <n v="2496.13"/>
    <n v="80.819999999999993"/>
    <x v="1"/>
  </r>
  <r>
    <s v="ORD0139"/>
    <x v="1"/>
    <s v="2025-06-01"/>
    <s v="Neha"/>
    <x v="2"/>
    <x v="0"/>
    <x v="12"/>
    <n v="1"/>
    <n v="4429.42"/>
    <n v="397.83"/>
    <x v="0"/>
  </r>
  <r>
    <s v="ORD0140"/>
    <x v="9"/>
    <s v="2025-03-05"/>
    <s v="Rohit"/>
    <x v="5"/>
    <x v="0"/>
    <x v="3"/>
    <n v="4"/>
    <n v="2272.8000000000002"/>
    <n v="378.52"/>
    <x v="0"/>
  </r>
  <r>
    <s v="ORD0141"/>
    <x v="1"/>
    <s v="2025-06-24"/>
    <s v="Neha"/>
    <x v="0"/>
    <x v="1"/>
    <x v="2"/>
    <n v="3"/>
    <n v="854.12"/>
    <n v="19.57"/>
    <x v="1"/>
  </r>
  <r>
    <s v="ORD0142"/>
    <x v="3"/>
    <s v="2025-11-15"/>
    <s v="Simran"/>
    <x v="3"/>
    <x v="1"/>
    <x v="5"/>
    <n v="8"/>
    <n v="29595.22"/>
    <n v="6352.99"/>
    <x v="3"/>
  </r>
  <r>
    <s v="ORD0143"/>
    <x v="8"/>
    <s v="2025-08-08"/>
    <s v="Sneha"/>
    <x v="2"/>
    <x v="2"/>
    <x v="6"/>
    <n v="7"/>
    <n v="6965.83"/>
    <n v="-407.09"/>
    <x v="1"/>
  </r>
  <r>
    <s v="ORD0144"/>
    <x v="3"/>
    <s v="2025-11-04"/>
    <s v="Rohit"/>
    <x v="4"/>
    <x v="1"/>
    <x v="1"/>
    <n v="8"/>
    <n v="20391.240000000002"/>
    <n v="2343.7199999999998"/>
    <x v="0"/>
  </r>
  <r>
    <s v="ORD0145"/>
    <x v="10"/>
    <s v="2025-05-29"/>
    <s v="Sneha"/>
    <x v="4"/>
    <x v="0"/>
    <x v="12"/>
    <n v="8"/>
    <n v="12587.74"/>
    <n v="701.06"/>
    <x v="3"/>
  </r>
  <r>
    <s v="ORD0146"/>
    <x v="3"/>
    <s v="2025-11-18"/>
    <s v="Sneha"/>
    <x v="1"/>
    <x v="1"/>
    <x v="1"/>
    <n v="1"/>
    <n v="1967.27"/>
    <n v="340.86"/>
    <x v="5"/>
  </r>
  <r>
    <s v="ORD0147"/>
    <x v="0"/>
    <s v="2025-12-10"/>
    <s v="Rahul"/>
    <x v="2"/>
    <x v="2"/>
    <x v="11"/>
    <n v="2"/>
    <n v="4145.34"/>
    <n v="905.02"/>
    <x v="3"/>
  </r>
  <r>
    <s v="ORD0148"/>
    <x v="2"/>
    <s v="2025-07-25"/>
    <s v="Pooja"/>
    <x v="1"/>
    <x v="1"/>
    <x v="9"/>
    <n v="3"/>
    <n v="2059.4899999999998"/>
    <n v="-15.66"/>
    <x v="5"/>
  </r>
  <r>
    <s v="ORD0149"/>
    <x v="8"/>
    <s v="2025-08-11"/>
    <s v="Karan"/>
    <x v="0"/>
    <x v="0"/>
    <x v="12"/>
    <n v="1"/>
    <n v="2637.21"/>
    <n v="223.54"/>
    <x v="1"/>
  </r>
  <r>
    <s v="ORD0150"/>
    <x v="3"/>
    <s v="2025-11-02"/>
    <s v="Sneha"/>
    <x v="2"/>
    <x v="0"/>
    <x v="14"/>
    <n v="5"/>
    <n v="18338.8"/>
    <n v="1719.96"/>
    <x v="4"/>
  </r>
  <r>
    <s v="ORD0151"/>
    <x v="8"/>
    <s v="2025-08-13"/>
    <s v="Priya"/>
    <x v="5"/>
    <x v="2"/>
    <x v="4"/>
    <n v="2"/>
    <n v="8974.83"/>
    <n v="581.89"/>
    <x v="0"/>
  </r>
  <r>
    <s v="ORD0152"/>
    <x v="10"/>
    <s v="2025-05-25"/>
    <s v="Pooja"/>
    <x v="4"/>
    <x v="1"/>
    <x v="9"/>
    <n v="4"/>
    <n v="12233.57"/>
    <n v="286.73"/>
    <x v="2"/>
  </r>
  <r>
    <s v="ORD0153"/>
    <x v="11"/>
    <s v="2025-01-19"/>
    <s v="Ananya"/>
    <x v="5"/>
    <x v="0"/>
    <x v="14"/>
    <n v="5"/>
    <n v="17581.27"/>
    <n v="1650.93"/>
    <x v="0"/>
  </r>
  <r>
    <s v="ORD0154"/>
    <x v="8"/>
    <s v="2025-08-04"/>
    <s v="Sneha"/>
    <x v="7"/>
    <x v="2"/>
    <x v="4"/>
    <n v="1"/>
    <n v="1152"/>
    <n v="66.41"/>
    <x v="1"/>
  </r>
  <r>
    <s v="ORD0155"/>
    <x v="3"/>
    <s v="2025-11-30"/>
    <s v="Rohit"/>
    <x v="5"/>
    <x v="1"/>
    <x v="13"/>
    <n v="2"/>
    <n v="1994.02"/>
    <n v="267.14"/>
    <x v="0"/>
  </r>
  <r>
    <s v="ORD0156"/>
    <x v="3"/>
    <s v="2025-11-20"/>
    <s v="Aarav"/>
    <x v="0"/>
    <x v="1"/>
    <x v="13"/>
    <n v="6"/>
    <n v="3673.84"/>
    <n v="-23.5"/>
    <x v="1"/>
  </r>
  <r>
    <s v="ORD0157"/>
    <x v="1"/>
    <s v="2025-06-03"/>
    <s v="Neha"/>
    <x v="4"/>
    <x v="2"/>
    <x v="8"/>
    <n v="8"/>
    <n v="34947.93"/>
    <n v="3238.75"/>
    <x v="4"/>
  </r>
  <r>
    <s v="ORD0158"/>
    <x v="2"/>
    <s v="2025-07-21"/>
    <s v="Neha"/>
    <x v="7"/>
    <x v="0"/>
    <x v="3"/>
    <n v="6"/>
    <n v="26280.82"/>
    <n v="5577.55"/>
    <x v="3"/>
  </r>
  <r>
    <s v="ORD0159"/>
    <x v="8"/>
    <s v="2025-08-04"/>
    <s v="Aarav"/>
    <x v="1"/>
    <x v="2"/>
    <x v="4"/>
    <n v="2"/>
    <n v="7000.89"/>
    <n v="1092.31"/>
    <x v="0"/>
  </r>
  <r>
    <s v="ORD0160"/>
    <x v="4"/>
    <s v="2025-02-14"/>
    <s v="Simran"/>
    <x v="4"/>
    <x v="1"/>
    <x v="13"/>
    <n v="6"/>
    <n v="6202.56"/>
    <n v="159.13"/>
    <x v="2"/>
  </r>
  <r>
    <s v="ORD0161"/>
    <x v="2"/>
    <s v="2025-07-06"/>
    <s v="Rohit"/>
    <x v="0"/>
    <x v="2"/>
    <x v="4"/>
    <n v="5"/>
    <n v="19612.240000000002"/>
    <n v="1039.68"/>
    <x v="6"/>
  </r>
  <r>
    <s v="ORD0162"/>
    <x v="0"/>
    <s v="2025-12-26"/>
    <s v="Meera"/>
    <x v="0"/>
    <x v="1"/>
    <x v="13"/>
    <n v="5"/>
    <n v="18196.080000000002"/>
    <n v="1558.58"/>
    <x v="6"/>
  </r>
  <r>
    <s v="ORD0163"/>
    <x v="3"/>
    <s v="2025-11-01"/>
    <s v="Vikas"/>
    <x v="2"/>
    <x v="0"/>
    <x v="14"/>
    <n v="3"/>
    <n v="6016.35"/>
    <n v="893.68"/>
    <x v="4"/>
  </r>
  <r>
    <s v="ORD0164"/>
    <x v="4"/>
    <s v="2025-02-26"/>
    <s v="Sneha"/>
    <x v="7"/>
    <x v="1"/>
    <x v="2"/>
    <n v="8"/>
    <n v="27638.3"/>
    <n v="1438.31"/>
    <x v="1"/>
  </r>
  <r>
    <s v="ORD0165"/>
    <x v="10"/>
    <s v="2025-05-17"/>
    <s v="Aman"/>
    <x v="3"/>
    <x v="2"/>
    <x v="4"/>
    <n v="5"/>
    <n v="5500.49"/>
    <n v="1249.55"/>
    <x v="3"/>
  </r>
  <r>
    <s v="ORD0166"/>
    <x v="1"/>
    <s v="2025-06-13"/>
    <s v="Simran"/>
    <x v="2"/>
    <x v="2"/>
    <x v="8"/>
    <n v="8"/>
    <n v="1597.01"/>
    <n v="23.96"/>
    <x v="5"/>
  </r>
  <r>
    <s v="ORD0167"/>
    <x v="0"/>
    <s v="2025-12-02"/>
    <s v="Ananya"/>
    <x v="6"/>
    <x v="1"/>
    <x v="1"/>
    <n v="6"/>
    <n v="1561.39"/>
    <n v="173.65"/>
    <x v="4"/>
  </r>
  <r>
    <s v="ORD0168"/>
    <x v="11"/>
    <s v="2025-01-14"/>
    <s v="Nitin"/>
    <x v="6"/>
    <x v="1"/>
    <x v="13"/>
    <n v="6"/>
    <n v="9711.77"/>
    <n v="206.46"/>
    <x v="6"/>
  </r>
  <r>
    <s v="ORD0169"/>
    <x v="5"/>
    <s v="2025-04-07"/>
    <s v="Meera"/>
    <x v="5"/>
    <x v="0"/>
    <x v="10"/>
    <n v="2"/>
    <n v="4668.49"/>
    <n v="1154.6500000000001"/>
    <x v="3"/>
  </r>
  <r>
    <s v="ORD0170"/>
    <x v="7"/>
    <s v="2025-10-30"/>
    <s v="Karan"/>
    <x v="4"/>
    <x v="0"/>
    <x v="3"/>
    <n v="3"/>
    <n v="3643.49"/>
    <n v="233.26"/>
    <x v="6"/>
  </r>
  <r>
    <s v="ORD0171"/>
    <x v="9"/>
    <s v="2025-03-25"/>
    <s v="Rohit"/>
    <x v="0"/>
    <x v="2"/>
    <x v="7"/>
    <n v="3"/>
    <n v="1813.39"/>
    <n v="322.98"/>
    <x v="3"/>
  </r>
  <r>
    <s v="ORD0172"/>
    <x v="7"/>
    <s v="2025-10-17"/>
    <s v="Karan"/>
    <x v="2"/>
    <x v="2"/>
    <x v="11"/>
    <n v="8"/>
    <n v="17283.150000000001"/>
    <n v="1575.96"/>
    <x v="5"/>
  </r>
  <r>
    <s v="ORD0173"/>
    <x v="4"/>
    <s v="2025-02-10"/>
    <s v="Neha"/>
    <x v="2"/>
    <x v="2"/>
    <x v="6"/>
    <n v="7"/>
    <n v="13617.91"/>
    <n v="1788.26"/>
    <x v="0"/>
  </r>
  <r>
    <s v="ORD0174"/>
    <x v="8"/>
    <s v="2025-08-03"/>
    <s v="Rahul"/>
    <x v="7"/>
    <x v="2"/>
    <x v="6"/>
    <n v="6"/>
    <n v="1724.95"/>
    <n v="119.45"/>
    <x v="0"/>
  </r>
  <r>
    <s v="ORD0175"/>
    <x v="6"/>
    <s v="2025-09-15"/>
    <s v="Ananya"/>
    <x v="1"/>
    <x v="1"/>
    <x v="13"/>
    <n v="4"/>
    <n v="10001.33"/>
    <n v="859.46"/>
    <x v="0"/>
  </r>
  <r>
    <s v="ORD0176"/>
    <x v="0"/>
    <s v="2025-12-21"/>
    <s v="Aman"/>
    <x v="7"/>
    <x v="0"/>
    <x v="0"/>
    <n v="5"/>
    <n v="16561.38"/>
    <n v="225.7"/>
    <x v="5"/>
  </r>
  <r>
    <s v="ORD0177"/>
    <x v="9"/>
    <s v="2025-03-28"/>
    <s v="Pooja"/>
    <x v="3"/>
    <x v="1"/>
    <x v="9"/>
    <n v="7"/>
    <n v="7290.25"/>
    <n v="701.17"/>
    <x v="1"/>
  </r>
  <r>
    <s v="ORD0178"/>
    <x v="1"/>
    <s v="2025-06-12"/>
    <s v="Vikas"/>
    <x v="0"/>
    <x v="0"/>
    <x v="10"/>
    <n v="6"/>
    <n v="1463.7"/>
    <n v="-13.11"/>
    <x v="6"/>
  </r>
  <r>
    <s v="ORD0179"/>
    <x v="2"/>
    <s v="2025-07-07"/>
    <s v="Ananya"/>
    <x v="2"/>
    <x v="1"/>
    <x v="1"/>
    <n v="7"/>
    <n v="26913.86"/>
    <n v="4226.8500000000004"/>
    <x v="3"/>
  </r>
  <r>
    <s v="ORD0180"/>
    <x v="8"/>
    <s v="2025-08-07"/>
    <s v="Priya"/>
    <x v="3"/>
    <x v="2"/>
    <x v="7"/>
    <n v="7"/>
    <n v="30992.73"/>
    <n v="4793.99"/>
    <x v="3"/>
  </r>
  <r>
    <s v="ORD0181"/>
    <x v="11"/>
    <s v="2025-01-02"/>
    <s v="Meera"/>
    <x v="3"/>
    <x v="0"/>
    <x v="14"/>
    <n v="8"/>
    <n v="26821.07"/>
    <n v="1981.92"/>
    <x v="5"/>
  </r>
  <r>
    <s v="ORD0182"/>
    <x v="1"/>
    <s v="2025-06-20"/>
    <s v="Vikas"/>
    <x v="5"/>
    <x v="0"/>
    <x v="10"/>
    <n v="4"/>
    <n v="7733.44"/>
    <n v="1104.47"/>
    <x v="4"/>
  </r>
  <r>
    <s v="ORD0183"/>
    <x v="10"/>
    <s v="2025-05-22"/>
    <s v="Riya"/>
    <x v="5"/>
    <x v="2"/>
    <x v="6"/>
    <n v="7"/>
    <n v="9759.44"/>
    <n v="2016.32"/>
    <x v="3"/>
  </r>
  <r>
    <s v="ORD0184"/>
    <x v="4"/>
    <s v="2025-02-01"/>
    <s v="Vikas"/>
    <x v="3"/>
    <x v="1"/>
    <x v="5"/>
    <n v="3"/>
    <n v="12798.92"/>
    <n v="941.71"/>
    <x v="0"/>
  </r>
  <r>
    <s v="ORD0185"/>
    <x v="0"/>
    <s v="2025-12-28"/>
    <s v="Simran"/>
    <x v="3"/>
    <x v="1"/>
    <x v="9"/>
    <n v="3"/>
    <n v="14055.16"/>
    <n v="949.04"/>
    <x v="4"/>
  </r>
  <r>
    <s v="ORD0186"/>
    <x v="4"/>
    <s v="2025-02-08"/>
    <s v="Simran"/>
    <x v="5"/>
    <x v="0"/>
    <x v="10"/>
    <n v="1"/>
    <n v="3609.98"/>
    <n v="626.78"/>
    <x v="3"/>
  </r>
  <r>
    <s v="ORD0187"/>
    <x v="6"/>
    <s v="2025-09-01"/>
    <s v="Neha"/>
    <x v="4"/>
    <x v="0"/>
    <x v="3"/>
    <n v="5"/>
    <n v="5091.82"/>
    <n v="190.95"/>
    <x v="0"/>
  </r>
  <r>
    <s v="ORD0188"/>
    <x v="1"/>
    <s v="2025-06-21"/>
    <s v="Simran"/>
    <x v="7"/>
    <x v="2"/>
    <x v="11"/>
    <n v="4"/>
    <n v="10666.34"/>
    <n v="339.63"/>
    <x v="2"/>
  </r>
  <r>
    <s v="ORD0189"/>
    <x v="10"/>
    <s v="2025-05-03"/>
    <s v="Riya"/>
    <x v="6"/>
    <x v="0"/>
    <x v="0"/>
    <n v="5"/>
    <n v="16263.44"/>
    <n v="-51.56"/>
    <x v="6"/>
  </r>
  <r>
    <s v="ORD0190"/>
    <x v="9"/>
    <s v="2025-03-01"/>
    <s v="Pooja"/>
    <x v="4"/>
    <x v="0"/>
    <x v="3"/>
    <n v="5"/>
    <n v="14152.99"/>
    <n v="-362.3"/>
    <x v="6"/>
  </r>
  <r>
    <s v="ORD0191"/>
    <x v="0"/>
    <s v="2025-12-15"/>
    <s v="Aarav"/>
    <x v="0"/>
    <x v="1"/>
    <x v="5"/>
    <n v="7"/>
    <n v="4631.42"/>
    <n v="-179.3"/>
    <x v="1"/>
  </r>
  <r>
    <s v="ORD0192"/>
    <x v="0"/>
    <s v="2025-12-08"/>
    <s v="Aman"/>
    <x v="0"/>
    <x v="1"/>
    <x v="5"/>
    <n v="2"/>
    <n v="6606.61"/>
    <n v="220.61"/>
    <x v="2"/>
  </r>
  <r>
    <s v="ORD0193"/>
    <x v="0"/>
    <s v="2025-12-14"/>
    <s v="Vikas"/>
    <x v="7"/>
    <x v="2"/>
    <x v="6"/>
    <n v="4"/>
    <n v="9125.9"/>
    <n v="1712.08"/>
    <x v="3"/>
  </r>
  <r>
    <s v="ORD0194"/>
    <x v="0"/>
    <s v="2025-12-22"/>
    <s v="Riya"/>
    <x v="7"/>
    <x v="1"/>
    <x v="1"/>
    <n v="6"/>
    <n v="5614.06"/>
    <n v="165.16"/>
    <x v="1"/>
  </r>
  <r>
    <s v="ORD0195"/>
    <x v="3"/>
    <s v="2025-11-27"/>
    <s v="Meera"/>
    <x v="0"/>
    <x v="0"/>
    <x v="12"/>
    <n v="1"/>
    <n v="724.1"/>
    <n v="10.29"/>
    <x v="2"/>
  </r>
  <r>
    <s v="ORD0196"/>
    <x v="1"/>
    <s v="2025-06-26"/>
    <s v="Aman"/>
    <x v="5"/>
    <x v="1"/>
    <x v="9"/>
    <n v="7"/>
    <n v="3786.43"/>
    <n v="-358.56"/>
    <x v="1"/>
  </r>
  <r>
    <s v="ORD0197"/>
    <x v="5"/>
    <s v="2025-04-15"/>
    <s v="Arjun"/>
    <x v="1"/>
    <x v="0"/>
    <x v="14"/>
    <n v="4"/>
    <n v="5934.67"/>
    <n v="-107.11"/>
    <x v="6"/>
  </r>
  <r>
    <s v="ORD0198"/>
    <x v="7"/>
    <s v="2025-10-14"/>
    <s v="Meera"/>
    <x v="0"/>
    <x v="2"/>
    <x v="7"/>
    <n v="8"/>
    <n v="13940.53"/>
    <n v="2336.0700000000002"/>
    <x v="3"/>
  </r>
  <r>
    <s v="ORD0199"/>
    <x v="7"/>
    <s v="2025-10-05"/>
    <s v="Vikas"/>
    <x v="7"/>
    <x v="2"/>
    <x v="6"/>
    <n v="8"/>
    <n v="3279.62"/>
    <n v="-134.09"/>
    <x v="2"/>
  </r>
  <r>
    <s v="ORD0200"/>
    <x v="1"/>
    <s v="2025-06-02"/>
    <s v="Meera"/>
    <x v="7"/>
    <x v="2"/>
    <x v="6"/>
    <n v="8"/>
    <n v="3073.65"/>
    <n v="222.62"/>
    <x v="0"/>
  </r>
  <r>
    <s v="ORD0201"/>
    <x v="6"/>
    <s v="2025-09-25"/>
    <s v="Aarav"/>
    <x v="6"/>
    <x v="0"/>
    <x v="10"/>
    <n v="8"/>
    <n v="27163.93"/>
    <n v="5269.76"/>
    <x v="3"/>
  </r>
  <r>
    <s v="ORD0202"/>
    <x v="5"/>
    <s v="2025-04-08"/>
    <s v="Riya"/>
    <x v="4"/>
    <x v="2"/>
    <x v="6"/>
    <n v="6"/>
    <n v="9168.77"/>
    <n v="749.14"/>
    <x v="3"/>
  </r>
  <r>
    <s v="ORD0203"/>
    <x v="3"/>
    <s v="2025-11-02"/>
    <s v="Rahul"/>
    <x v="5"/>
    <x v="2"/>
    <x v="7"/>
    <n v="5"/>
    <n v="9709.2099999999991"/>
    <n v="844.36"/>
    <x v="4"/>
  </r>
  <r>
    <s v="ORD0204"/>
    <x v="8"/>
    <s v="2025-08-28"/>
    <s v="Karan"/>
    <x v="6"/>
    <x v="1"/>
    <x v="2"/>
    <n v="2"/>
    <n v="5653.53"/>
    <n v="-35.4"/>
    <x v="1"/>
  </r>
  <r>
    <s v="ORD0205"/>
    <x v="10"/>
    <s v="2025-05-29"/>
    <s v="Rohit"/>
    <x v="2"/>
    <x v="1"/>
    <x v="5"/>
    <n v="7"/>
    <n v="22475.21"/>
    <n v="952.55"/>
    <x v="0"/>
  </r>
  <r>
    <s v="ORD0206"/>
    <x v="10"/>
    <s v="2025-05-27"/>
    <s v="Priya"/>
    <x v="3"/>
    <x v="0"/>
    <x v="12"/>
    <n v="8"/>
    <n v="29347.53"/>
    <n v="871.01"/>
    <x v="4"/>
  </r>
  <r>
    <s v="ORD0207"/>
    <x v="9"/>
    <s v="2025-03-24"/>
    <s v="Pooja"/>
    <x v="6"/>
    <x v="0"/>
    <x v="12"/>
    <n v="6"/>
    <n v="21715.78"/>
    <n v="381.57"/>
    <x v="0"/>
  </r>
  <r>
    <s v="ORD0208"/>
    <x v="4"/>
    <s v="2025-02-22"/>
    <s v="Neha"/>
    <x v="4"/>
    <x v="2"/>
    <x v="7"/>
    <n v="6"/>
    <n v="7213.27"/>
    <n v="981.08"/>
    <x v="0"/>
  </r>
  <r>
    <s v="ORD0209"/>
    <x v="0"/>
    <s v="2025-12-15"/>
    <s v="Riya"/>
    <x v="5"/>
    <x v="1"/>
    <x v="1"/>
    <n v="8"/>
    <n v="2661.28"/>
    <n v="9.07"/>
    <x v="1"/>
  </r>
  <r>
    <s v="ORD0210"/>
    <x v="3"/>
    <s v="2025-11-04"/>
    <s v="Arjun"/>
    <x v="3"/>
    <x v="2"/>
    <x v="6"/>
    <n v="7"/>
    <n v="11877.31"/>
    <n v="1094.68"/>
    <x v="3"/>
  </r>
  <r>
    <s v="ORD0211"/>
    <x v="9"/>
    <s v="2025-03-25"/>
    <s v="Rohit"/>
    <x v="2"/>
    <x v="2"/>
    <x v="6"/>
    <n v="5"/>
    <n v="22127.63"/>
    <n v="1820.58"/>
    <x v="4"/>
  </r>
  <r>
    <s v="ORD0212"/>
    <x v="6"/>
    <s v="2025-09-02"/>
    <s v="Priya"/>
    <x v="6"/>
    <x v="1"/>
    <x v="9"/>
    <n v="4"/>
    <n v="10904.29"/>
    <n v="1794.84"/>
    <x v="3"/>
  </r>
  <r>
    <s v="ORD0213"/>
    <x v="7"/>
    <s v="2025-10-25"/>
    <s v="Aman"/>
    <x v="2"/>
    <x v="1"/>
    <x v="9"/>
    <n v="8"/>
    <n v="16280.11"/>
    <n v="2236.31"/>
    <x v="4"/>
  </r>
  <r>
    <s v="ORD0214"/>
    <x v="5"/>
    <s v="2025-04-11"/>
    <s v="Neha"/>
    <x v="3"/>
    <x v="1"/>
    <x v="1"/>
    <n v="4"/>
    <n v="12922.56"/>
    <n v="1634.17"/>
    <x v="0"/>
  </r>
  <r>
    <s v="ORD0215"/>
    <x v="4"/>
    <s v="2025-02-01"/>
    <s v="Ananya"/>
    <x v="0"/>
    <x v="0"/>
    <x v="0"/>
    <n v="6"/>
    <n v="28931.34"/>
    <n v="1638.86"/>
    <x v="3"/>
  </r>
  <r>
    <s v="ORD0216"/>
    <x v="1"/>
    <s v="2025-06-10"/>
    <s v="Nitin"/>
    <x v="1"/>
    <x v="2"/>
    <x v="4"/>
    <n v="8"/>
    <n v="2756.81"/>
    <n v="536.77"/>
    <x v="0"/>
  </r>
  <r>
    <s v="ORD0217"/>
    <x v="3"/>
    <s v="2025-11-02"/>
    <s v="Meera"/>
    <x v="3"/>
    <x v="0"/>
    <x v="12"/>
    <n v="3"/>
    <n v="6635"/>
    <n v="238.39"/>
    <x v="5"/>
  </r>
  <r>
    <s v="ORD0218"/>
    <x v="10"/>
    <s v="2025-05-16"/>
    <s v="Rohit"/>
    <x v="0"/>
    <x v="1"/>
    <x v="1"/>
    <n v="5"/>
    <n v="5013.3500000000004"/>
    <n v="249.44"/>
    <x v="0"/>
  </r>
  <r>
    <s v="ORD0219"/>
    <x v="11"/>
    <s v="2025-01-18"/>
    <s v="Karan"/>
    <x v="0"/>
    <x v="0"/>
    <x v="14"/>
    <n v="6"/>
    <n v="1409.61"/>
    <n v="291.01"/>
    <x v="4"/>
  </r>
  <r>
    <s v="ORD0220"/>
    <x v="3"/>
    <s v="2025-11-21"/>
    <s v="Simran"/>
    <x v="0"/>
    <x v="1"/>
    <x v="1"/>
    <n v="5"/>
    <n v="10424.02"/>
    <n v="789.2"/>
    <x v="3"/>
  </r>
  <r>
    <s v="ORD0221"/>
    <x v="11"/>
    <s v="2025-01-20"/>
    <s v="Pooja"/>
    <x v="7"/>
    <x v="2"/>
    <x v="11"/>
    <n v="6"/>
    <n v="16846.72"/>
    <n v="437.06"/>
    <x v="4"/>
  </r>
  <r>
    <s v="ORD0222"/>
    <x v="0"/>
    <s v="2025-12-13"/>
    <s v="Rohit"/>
    <x v="6"/>
    <x v="2"/>
    <x v="6"/>
    <n v="5"/>
    <n v="15270.95"/>
    <n v="1541.5"/>
    <x v="6"/>
  </r>
  <r>
    <s v="ORD0223"/>
    <x v="3"/>
    <s v="2025-11-23"/>
    <s v="Neha"/>
    <x v="6"/>
    <x v="2"/>
    <x v="4"/>
    <n v="5"/>
    <n v="5706.44"/>
    <n v="240.94"/>
    <x v="0"/>
  </r>
  <r>
    <s v="ORD0224"/>
    <x v="5"/>
    <s v="2025-04-04"/>
    <s v="Nitin"/>
    <x v="0"/>
    <x v="2"/>
    <x v="8"/>
    <n v="1"/>
    <n v="3086.5"/>
    <n v="-188.17"/>
    <x v="1"/>
  </r>
  <r>
    <s v="ORD0225"/>
    <x v="3"/>
    <s v="2025-11-11"/>
    <s v="Aman"/>
    <x v="5"/>
    <x v="2"/>
    <x v="7"/>
    <n v="7"/>
    <n v="14322.79"/>
    <n v="760.25"/>
    <x v="5"/>
  </r>
  <r>
    <s v="ORD0226"/>
    <x v="9"/>
    <s v="2025-03-18"/>
    <s v="Nitin"/>
    <x v="1"/>
    <x v="1"/>
    <x v="5"/>
    <n v="3"/>
    <n v="3666.77"/>
    <n v="261.37"/>
    <x v="4"/>
  </r>
  <r>
    <s v="ORD0227"/>
    <x v="3"/>
    <s v="2025-11-26"/>
    <s v="Arjun"/>
    <x v="5"/>
    <x v="2"/>
    <x v="7"/>
    <n v="6"/>
    <n v="9405.91"/>
    <n v="389.99"/>
    <x v="6"/>
  </r>
  <r>
    <s v="ORD0228"/>
    <x v="5"/>
    <s v="2025-04-13"/>
    <s v="Vikas"/>
    <x v="6"/>
    <x v="1"/>
    <x v="9"/>
    <n v="1"/>
    <n v="2116.21"/>
    <n v="-111.12"/>
    <x v="2"/>
  </r>
  <r>
    <s v="ORD0229"/>
    <x v="3"/>
    <s v="2025-11-12"/>
    <s v="Priya"/>
    <x v="6"/>
    <x v="2"/>
    <x v="8"/>
    <n v="4"/>
    <n v="11926.84"/>
    <n v="790.08"/>
    <x v="1"/>
  </r>
  <r>
    <s v="ORD0230"/>
    <x v="9"/>
    <s v="2025-03-13"/>
    <s v="Vikas"/>
    <x v="7"/>
    <x v="1"/>
    <x v="9"/>
    <n v="2"/>
    <n v="1651.18"/>
    <n v="-106.34"/>
    <x v="1"/>
  </r>
  <r>
    <s v="ORD0231"/>
    <x v="1"/>
    <s v="2025-06-18"/>
    <s v="Sneha"/>
    <x v="7"/>
    <x v="1"/>
    <x v="13"/>
    <n v="5"/>
    <n v="15507.65"/>
    <n v="530.75"/>
    <x v="4"/>
  </r>
  <r>
    <s v="ORD0232"/>
    <x v="0"/>
    <s v="2025-12-09"/>
    <s v="Karan"/>
    <x v="6"/>
    <x v="0"/>
    <x v="3"/>
    <n v="5"/>
    <n v="5480.43"/>
    <n v="-376.94"/>
    <x v="1"/>
  </r>
  <r>
    <s v="ORD0233"/>
    <x v="3"/>
    <s v="2025-11-22"/>
    <s v="Rohit"/>
    <x v="1"/>
    <x v="1"/>
    <x v="9"/>
    <n v="6"/>
    <n v="10622.08"/>
    <n v="1297.51"/>
    <x v="3"/>
  </r>
  <r>
    <s v="ORD0234"/>
    <x v="1"/>
    <s v="2025-06-29"/>
    <s v="Rohit"/>
    <x v="2"/>
    <x v="2"/>
    <x v="11"/>
    <n v="2"/>
    <n v="1525.05"/>
    <n v="101.49"/>
    <x v="3"/>
  </r>
  <r>
    <s v="ORD0235"/>
    <x v="9"/>
    <s v="2025-03-31"/>
    <s v="Riya"/>
    <x v="3"/>
    <x v="0"/>
    <x v="10"/>
    <n v="2"/>
    <n v="1046.92"/>
    <n v="-16.84"/>
    <x v="6"/>
  </r>
  <r>
    <s v="ORD0236"/>
    <x v="0"/>
    <s v="2025-12-06"/>
    <s v="Vikas"/>
    <x v="4"/>
    <x v="0"/>
    <x v="12"/>
    <n v="1"/>
    <n v="4412.07"/>
    <n v="838.75"/>
    <x v="3"/>
  </r>
  <r>
    <s v="ORD0237"/>
    <x v="4"/>
    <s v="2025-02-14"/>
    <s v="Riya"/>
    <x v="6"/>
    <x v="2"/>
    <x v="11"/>
    <n v="4"/>
    <n v="7682.54"/>
    <n v="1320.58"/>
    <x v="5"/>
  </r>
  <r>
    <s v="ORD0238"/>
    <x v="3"/>
    <s v="2025-11-18"/>
    <s v="Nitin"/>
    <x v="2"/>
    <x v="0"/>
    <x v="10"/>
    <n v="1"/>
    <n v="2422.4699999999998"/>
    <n v="-27.2"/>
    <x v="2"/>
  </r>
  <r>
    <s v="ORD0239"/>
    <x v="9"/>
    <s v="2025-03-04"/>
    <s v="Aman"/>
    <x v="0"/>
    <x v="1"/>
    <x v="9"/>
    <n v="8"/>
    <n v="22674.13"/>
    <n v="-1047.99"/>
    <x v="2"/>
  </r>
  <r>
    <s v="ORD0240"/>
    <x v="8"/>
    <s v="2025-08-24"/>
    <s v="Karan"/>
    <x v="2"/>
    <x v="0"/>
    <x v="10"/>
    <n v="7"/>
    <n v="25797.119999999999"/>
    <n v="1346.83"/>
    <x v="0"/>
  </r>
  <r>
    <s v="ORD0241"/>
    <x v="9"/>
    <s v="2025-03-21"/>
    <s v="Priya"/>
    <x v="2"/>
    <x v="2"/>
    <x v="8"/>
    <n v="6"/>
    <n v="12220.16"/>
    <n v="-847.77"/>
    <x v="2"/>
  </r>
  <r>
    <s v="ORD0242"/>
    <x v="2"/>
    <s v="2025-07-29"/>
    <s v="Simran"/>
    <x v="2"/>
    <x v="1"/>
    <x v="13"/>
    <n v="1"/>
    <n v="308.98"/>
    <n v="36.26"/>
    <x v="4"/>
  </r>
  <r>
    <s v="ORD0243"/>
    <x v="8"/>
    <s v="2025-08-25"/>
    <s v="Ananya"/>
    <x v="4"/>
    <x v="0"/>
    <x v="14"/>
    <n v="2"/>
    <n v="5137.59"/>
    <n v="756.54"/>
    <x v="5"/>
  </r>
  <r>
    <s v="ORD0244"/>
    <x v="2"/>
    <s v="2025-07-06"/>
    <s v="Nitin"/>
    <x v="2"/>
    <x v="1"/>
    <x v="5"/>
    <n v="7"/>
    <n v="6745.88"/>
    <n v="802.72"/>
    <x v="0"/>
  </r>
  <r>
    <s v="ORD0245"/>
    <x v="1"/>
    <s v="2025-06-15"/>
    <s v="Riya"/>
    <x v="2"/>
    <x v="1"/>
    <x v="1"/>
    <n v="4"/>
    <n v="10489.24"/>
    <n v="824.06"/>
    <x v="6"/>
  </r>
  <r>
    <s v="ORD0246"/>
    <x v="10"/>
    <s v="2025-05-13"/>
    <s v="Riya"/>
    <x v="5"/>
    <x v="1"/>
    <x v="1"/>
    <n v="4"/>
    <n v="9190.41"/>
    <n v="236.02"/>
    <x v="1"/>
  </r>
  <r>
    <s v="ORD0247"/>
    <x v="5"/>
    <s v="2025-04-05"/>
    <s v="Simran"/>
    <x v="4"/>
    <x v="0"/>
    <x v="0"/>
    <n v="7"/>
    <n v="13737.98"/>
    <n v="1056.0899999999999"/>
    <x v="2"/>
  </r>
  <r>
    <s v="ORD0248"/>
    <x v="10"/>
    <s v="2025-05-17"/>
    <s v="Karan"/>
    <x v="2"/>
    <x v="2"/>
    <x v="11"/>
    <n v="3"/>
    <n v="2629.21"/>
    <n v="162.93"/>
    <x v="6"/>
  </r>
  <r>
    <s v="ORD0249"/>
    <x v="0"/>
    <s v="2025-12-25"/>
    <s v="Sneha"/>
    <x v="5"/>
    <x v="1"/>
    <x v="9"/>
    <n v="1"/>
    <n v="4376.62"/>
    <n v="143.38999999999999"/>
    <x v="0"/>
  </r>
  <r>
    <s v="ORD0250"/>
    <x v="4"/>
    <s v="2025-02-01"/>
    <s v="Priya"/>
    <x v="5"/>
    <x v="0"/>
    <x v="12"/>
    <n v="7"/>
    <n v="12706.24"/>
    <n v="371.45"/>
    <x v="2"/>
  </r>
  <r>
    <s v="ORD0251"/>
    <x v="3"/>
    <s v="2025-11-06"/>
    <s v="Riya"/>
    <x v="1"/>
    <x v="1"/>
    <x v="13"/>
    <n v="1"/>
    <n v="2582.44"/>
    <n v="204.33"/>
    <x v="6"/>
  </r>
  <r>
    <s v="ORD0252"/>
    <x v="0"/>
    <s v="2025-12-29"/>
    <s v="Nitin"/>
    <x v="1"/>
    <x v="0"/>
    <x v="12"/>
    <n v="1"/>
    <n v="620.1"/>
    <n v="56.24"/>
    <x v="3"/>
  </r>
  <r>
    <s v="ORD0253"/>
    <x v="8"/>
    <s v="2025-08-16"/>
    <s v="Aman"/>
    <x v="0"/>
    <x v="0"/>
    <x v="12"/>
    <n v="4"/>
    <n v="10122.129999999999"/>
    <n v="944.43"/>
    <x v="2"/>
  </r>
  <r>
    <s v="ORD0254"/>
    <x v="9"/>
    <s v="2025-03-25"/>
    <s v="Riya"/>
    <x v="3"/>
    <x v="1"/>
    <x v="5"/>
    <n v="4"/>
    <n v="10005.530000000001"/>
    <n v="1968.23"/>
    <x v="0"/>
  </r>
  <r>
    <s v="ORD0255"/>
    <x v="1"/>
    <s v="2025-06-05"/>
    <s v="Pooja"/>
    <x v="4"/>
    <x v="0"/>
    <x v="12"/>
    <n v="6"/>
    <n v="14111.02"/>
    <n v="1549.23"/>
    <x v="6"/>
  </r>
  <r>
    <s v="ORD0256"/>
    <x v="9"/>
    <s v="2025-03-06"/>
    <s v="Nitin"/>
    <x v="4"/>
    <x v="1"/>
    <x v="5"/>
    <n v="6"/>
    <n v="21307.93"/>
    <n v="-713.58"/>
    <x v="2"/>
  </r>
  <r>
    <s v="ORD0257"/>
    <x v="10"/>
    <s v="2025-05-09"/>
    <s v="Priya"/>
    <x v="1"/>
    <x v="1"/>
    <x v="1"/>
    <n v="5"/>
    <n v="3447.09"/>
    <n v="335.71"/>
    <x v="1"/>
  </r>
  <r>
    <s v="ORD0258"/>
    <x v="6"/>
    <s v="2025-09-13"/>
    <s v="Priya"/>
    <x v="3"/>
    <x v="1"/>
    <x v="9"/>
    <n v="3"/>
    <n v="11723.36"/>
    <n v="1582.23"/>
    <x v="0"/>
  </r>
  <r>
    <s v="ORD0259"/>
    <x v="7"/>
    <s v="2025-10-27"/>
    <s v="Neha"/>
    <x v="5"/>
    <x v="1"/>
    <x v="1"/>
    <n v="5"/>
    <n v="23593.75"/>
    <n v="3453.14"/>
    <x v="3"/>
  </r>
  <r>
    <s v="ORD0260"/>
    <x v="1"/>
    <s v="2025-06-12"/>
    <s v="Arjun"/>
    <x v="2"/>
    <x v="2"/>
    <x v="6"/>
    <n v="7"/>
    <n v="18223.97"/>
    <n v="1089.6600000000001"/>
    <x v="4"/>
  </r>
  <r>
    <s v="ORD0261"/>
    <x v="5"/>
    <s v="2025-04-17"/>
    <s v="Meera"/>
    <x v="3"/>
    <x v="1"/>
    <x v="9"/>
    <n v="3"/>
    <n v="8262.14"/>
    <n v="122.67"/>
    <x v="2"/>
  </r>
  <r>
    <s v="ORD0262"/>
    <x v="7"/>
    <s v="2025-10-07"/>
    <s v="Arjun"/>
    <x v="4"/>
    <x v="1"/>
    <x v="1"/>
    <n v="5"/>
    <n v="1355.82"/>
    <n v="-14.6"/>
    <x v="5"/>
  </r>
  <r>
    <s v="ORD0263"/>
    <x v="4"/>
    <s v="2025-02-06"/>
    <s v="Sneha"/>
    <x v="4"/>
    <x v="1"/>
    <x v="5"/>
    <n v="6"/>
    <n v="20672.41"/>
    <n v="-19.579999999999998"/>
    <x v="1"/>
  </r>
  <r>
    <s v="ORD0264"/>
    <x v="6"/>
    <s v="2025-09-06"/>
    <s v="Karan"/>
    <x v="5"/>
    <x v="2"/>
    <x v="4"/>
    <n v="6"/>
    <n v="22304.39"/>
    <n v="3267.88"/>
    <x v="3"/>
  </r>
  <r>
    <s v="ORD0265"/>
    <x v="5"/>
    <s v="2025-04-05"/>
    <s v="Rohit"/>
    <x v="1"/>
    <x v="2"/>
    <x v="6"/>
    <n v="8"/>
    <n v="24113.35"/>
    <n v="344.62"/>
    <x v="0"/>
  </r>
  <r>
    <s v="ORD0266"/>
    <x v="8"/>
    <s v="2025-08-16"/>
    <s v="Nitin"/>
    <x v="0"/>
    <x v="0"/>
    <x v="10"/>
    <n v="4"/>
    <n v="10869.73"/>
    <n v="-1062.9100000000001"/>
    <x v="1"/>
  </r>
  <r>
    <s v="ORD0267"/>
    <x v="11"/>
    <s v="2025-01-12"/>
    <s v="Neha"/>
    <x v="3"/>
    <x v="1"/>
    <x v="9"/>
    <n v="1"/>
    <n v="2071.0300000000002"/>
    <n v="74.930000000000007"/>
    <x v="6"/>
  </r>
  <r>
    <s v="ORD0268"/>
    <x v="8"/>
    <s v="2025-08-16"/>
    <s v="Ananya"/>
    <x v="5"/>
    <x v="0"/>
    <x v="0"/>
    <n v="3"/>
    <n v="5472.39"/>
    <n v="517.29999999999995"/>
    <x v="1"/>
  </r>
  <r>
    <s v="ORD0269"/>
    <x v="2"/>
    <s v="2025-07-03"/>
    <s v="Priya"/>
    <x v="3"/>
    <x v="0"/>
    <x v="0"/>
    <n v="5"/>
    <n v="11022.31"/>
    <n v="631.79"/>
    <x v="0"/>
  </r>
  <r>
    <s v="ORD0270"/>
    <x v="7"/>
    <s v="2025-10-02"/>
    <s v="Riya"/>
    <x v="6"/>
    <x v="0"/>
    <x v="12"/>
    <n v="1"/>
    <n v="1557.46"/>
    <n v="-18.36"/>
    <x v="1"/>
  </r>
  <r>
    <s v="ORD0271"/>
    <x v="8"/>
    <s v="2025-08-15"/>
    <s v="Priya"/>
    <x v="5"/>
    <x v="1"/>
    <x v="5"/>
    <n v="5"/>
    <n v="5074.57"/>
    <n v="-92.49"/>
    <x v="2"/>
  </r>
  <r>
    <s v="ORD0272"/>
    <x v="9"/>
    <s v="2025-03-06"/>
    <s v="Aarav"/>
    <x v="5"/>
    <x v="1"/>
    <x v="2"/>
    <n v="5"/>
    <n v="14833.58"/>
    <n v="482"/>
    <x v="6"/>
  </r>
  <r>
    <s v="ORD0273"/>
    <x v="7"/>
    <s v="2025-10-30"/>
    <s v="Pooja"/>
    <x v="7"/>
    <x v="2"/>
    <x v="8"/>
    <n v="8"/>
    <n v="10702.92"/>
    <n v="533"/>
    <x v="0"/>
  </r>
  <r>
    <s v="ORD0274"/>
    <x v="10"/>
    <s v="2025-05-24"/>
    <s v="Aarav"/>
    <x v="0"/>
    <x v="1"/>
    <x v="13"/>
    <n v="2"/>
    <n v="1233.6500000000001"/>
    <n v="182.18"/>
    <x v="0"/>
  </r>
  <r>
    <s v="ORD0275"/>
    <x v="3"/>
    <s v="2025-11-25"/>
    <s v="Vikas"/>
    <x v="2"/>
    <x v="1"/>
    <x v="1"/>
    <n v="8"/>
    <n v="27434.6"/>
    <n v="3887.2"/>
    <x v="3"/>
  </r>
  <r>
    <s v="ORD0276"/>
    <x v="8"/>
    <s v="2025-08-06"/>
    <s v="Aarav"/>
    <x v="0"/>
    <x v="1"/>
    <x v="9"/>
    <n v="4"/>
    <n v="10516.46"/>
    <n v="1154.6400000000001"/>
    <x v="0"/>
  </r>
  <r>
    <s v="ORD0277"/>
    <x v="11"/>
    <s v="2025-01-08"/>
    <s v="Simran"/>
    <x v="2"/>
    <x v="1"/>
    <x v="13"/>
    <n v="3"/>
    <n v="10835.27"/>
    <n v="-415.47"/>
    <x v="6"/>
  </r>
  <r>
    <s v="ORD0278"/>
    <x v="5"/>
    <s v="2025-04-23"/>
    <s v="Neha"/>
    <x v="4"/>
    <x v="0"/>
    <x v="3"/>
    <n v="2"/>
    <n v="957.52"/>
    <n v="49.13"/>
    <x v="2"/>
  </r>
  <r>
    <s v="ORD0279"/>
    <x v="2"/>
    <s v="2025-07-27"/>
    <s v="Pooja"/>
    <x v="5"/>
    <x v="0"/>
    <x v="10"/>
    <n v="1"/>
    <n v="3267.41"/>
    <n v="-175.86"/>
    <x v="2"/>
  </r>
  <r>
    <s v="ORD0280"/>
    <x v="11"/>
    <s v="2025-01-27"/>
    <s v="Meera"/>
    <x v="2"/>
    <x v="1"/>
    <x v="13"/>
    <n v="2"/>
    <n v="1038.3499999999999"/>
    <n v="93.55"/>
    <x v="0"/>
  </r>
  <r>
    <s v="ORD0281"/>
    <x v="2"/>
    <s v="2025-07-21"/>
    <s v="Rahul"/>
    <x v="6"/>
    <x v="1"/>
    <x v="9"/>
    <n v="7"/>
    <n v="16400.14"/>
    <n v="3523.97"/>
    <x v="4"/>
  </r>
  <r>
    <s v="ORD0282"/>
    <x v="1"/>
    <s v="2025-06-28"/>
    <s v="Vikas"/>
    <x v="1"/>
    <x v="1"/>
    <x v="2"/>
    <n v="6"/>
    <n v="9268.1200000000008"/>
    <n v="264.39"/>
    <x v="2"/>
  </r>
  <r>
    <s v="ORD0283"/>
    <x v="0"/>
    <s v="2025-12-12"/>
    <s v="Nitin"/>
    <x v="2"/>
    <x v="2"/>
    <x v="4"/>
    <n v="2"/>
    <n v="2402.02"/>
    <n v="51.06"/>
    <x v="2"/>
  </r>
  <r>
    <s v="ORD0284"/>
    <x v="11"/>
    <s v="2025-01-16"/>
    <s v="Nitin"/>
    <x v="6"/>
    <x v="0"/>
    <x v="12"/>
    <n v="7"/>
    <n v="6294.89"/>
    <n v="359.33"/>
    <x v="0"/>
  </r>
  <r>
    <s v="ORD0285"/>
    <x v="7"/>
    <s v="2025-10-19"/>
    <s v="Riya"/>
    <x v="5"/>
    <x v="1"/>
    <x v="9"/>
    <n v="7"/>
    <n v="31234.39"/>
    <n v="2278.5100000000002"/>
    <x v="3"/>
  </r>
  <r>
    <s v="ORD0286"/>
    <x v="11"/>
    <s v="2025-01-02"/>
    <s v="Riya"/>
    <x v="0"/>
    <x v="2"/>
    <x v="8"/>
    <n v="7"/>
    <n v="26601.97"/>
    <n v="3345.24"/>
    <x v="3"/>
  </r>
  <r>
    <s v="ORD0287"/>
    <x v="0"/>
    <s v="2025-12-18"/>
    <s v="Simran"/>
    <x v="3"/>
    <x v="1"/>
    <x v="9"/>
    <n v="7"/>
    <n v="1384.23"/>
    <n v="101.01"/>
    <x v="0"/>
  </r>
  <r>
    <s v="ORD0288"/>
    <x v="6"/>
    <s v="2025-09-10"/>
    <s v="Rohit"/>
    <x v="3"/>
    <x v="2"/>
    <x v="11"/>
    <n v="5"/>
    <n v="11561.46"/>
    <n v="1871.63"/>
    <x v="3"/>
  </r>
  <r>
    <s v="ORD0289"/>
    <x v="11"/>
    <s v="2025-01-28"/>
    <s v="Riya"/>
    <x v="2"/>
    <x v="1"/>
    <x v="9"/>
    <n v="8"/>
    <n v="4210.2299999999996"/>
    <n v="500.62"/>
    <x v="2"/>
  </r>
  <r>
    <s v="ORD0290"/>
    <x v="3"/>
    <s v="2025-11-16"/>
    <s v="Rahul"/>
    <x v="1"/>
    <x v="0"/>
    <x v="14"/>
    <n v="7"/>
    <n v="19385.54"/>
    <n v="-1334.94"/>
    <x v="1"/>
  </r>
  <r>
    <s v="ORD0291"/>
    <x v="2"/>
    <s v="2025-07-16"/>
    <s v="Rahul"/>
    <x v="6"/>
    <x v="2"/>
    <x v="6"/>
    <n v="4"/>
    <n v="8795.2099999999991"/>
    <n v="-454.94"/>
    <x v="2"/>
  </r>
  <r>
    <s v="ORD0292"/>
    <x v="0"/>
    <s v="2025-12-29"/>
    <s v="Aarav"/>
    <x v="4"/>
    <x v="1"/>
    <x v="1"/>
    <n v="3"/>
    <n v="6947.7"/>
    <n v="1185.03"/>
    <x v="5"/>
  </r>
  <r>
    <s v="ORD0293"/>
    <x v="2"/>
    <s v="2025-07-01"/>
    <s v="Arjun"/>
    <x v="6"/>
    <x v="2"/>
    <x v="4"/>
    <n v="8"/>
    <n v="23059.69"/>
    <n v="-1205.99"/>
    <x v="1"/>
  </r>
  <r>
    <s v="ORD0294"/>
    <x v="4"/>
    <s v="2025-02-17"/>
    <s v="Vikas"/>
    <x v="0"/>
    <x v="0"/>
    <x v="0"/>
    <n v="7"/>
    <n v="6669.51"/>
    <n v="-160.16"/>
    <x v="1"/>
  </r>
  <r>
    <s v="ORD0295"/>
    <x v="5"/>
    <s v="2025-04-24"/>
    <s v="Rahul"/>
    <x v="1"/>
    <x v="2"/>
    <x v="7"/>
    <n v="4"/>
    <n v="5016.42"/>
    <n v="259.38"/>
    <x v="5"/>
  </r>
  <r>
    <s v="ORD0296"/>
    <x v="4"/>
    <s v="2025-02-01"/>
    <s v="Meera"/>
    <x v="4"/>
    <x v="0"/>
    <x v="3"/>
    <n v="8"/>
    <n v="32170.9"/>
    <n v="1803.48"/>
    <x v="3"/>
  </r>
  <r>
    <s v="ORD0297"/>
    <x v="7"/>
    <s v="2025-10-06"/>
    <s v="Rahul"/>
    <x v="3"/>
    <x v="1"/>
    <x v="5"/>
    <n v="4"/>
    <n v="4639.04"/>
    <n v="579.22"/>
    <x v="6"/>
  </r>
  <r>
    <s v="ORD0298"/>
    <x v="6"/>
    <s v="2025-09-11"/>
    <s v="Neha"/>
    <x v="4"/>
    <x v="2"/>
    <x v="7"/>
    <n v="3"/>
    <n v="10085.76"/>
    <n v="-181.56"/>
    <x v="1"/>
  </r>
  <r>
    <s v="ORD0299"/>
    <x v="2"/>
    <s v="2025-07-26"/>
    <s v="Rohit"/>
    <x v="6"/>
    <x v="0"/>
    <x v="0"/>
    <n v="7"/>
    <n v="5473.33"/>
    <n v="574.84"/>
    <x v="5"/>
  </r>
  <r>
    <s v="ORD0300"/>
    <x v="4"/>
    <s v="2025-02-20"/>
    <s v="Rohit"/>
    <x v="2"/>
    <x v="2"/>
    <x v="6"/>
    <n v="6"/>
    <n v="16209.35"/>
    <n v="494.1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5FC44-567A-431D-80EC-A0EC8A5375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op 10 Products">
  <location ref="E6:F1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6">
        <item x="6"/>
        <item x="4"/>
        <item x="7"/>
        <item x="9"/>
        <item x="5"/>
        <item x="2"/>
        <item x="3"/>
        <item x="13"/>
        <item x="1"/>
        <item x="10"/>
        <item x="14"/>
        <item x="12"/>
        <item x="11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dataField="1" numFmtId="44" showAll="0"/>
    <pivotField numFmtId="44" showAll="0"/>
    <pivotField showAll="0"/>
  </pivotFields>
  <rowFields count="1">
    <field x="6"/>
  </rowFields>
  <rowItems count="11">
    <i>
      <x v="1"/>
    </i>
    <i>
      <x v="3"/>
    </i>
    <i>
      <x v="2"/>
    </i>
    <i>
      <x v="8"/>
    </i>
    <i>
      <x v="10"/>
    </i>
    <i>
      <x/>
    </i>
    <i>
      <x v="14"/>
    </i>
    <i>
      <x v="4"/>
    </i>
    <i>
      <x v="13"/>
    </i>
    <i>
      <x v="9"/>
    </i>
    <i t="grand">
      <x/>
    </i>
  </rowItems>
  <colItems count="1">
    <i/>
  </colItems>
  <dataFields count="1">
    <dataField name="Total Sales" fld="8" baseField="6" baseItem="1" numFmtId="4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144B4-FA2A-4134-B312-9FADB83C8D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B6:C19" firstHeaderRow="1" firstDataRow="1" firstDataCol="1"/>
  <pivotFields count="11">
    <pivotField showAll="0"/>
    <pivotField axis="axisRow" showAll="0">
      <items count="13">
        <item x="11"/>
        <item x="4"/>
        <item x="9"/>
        <item x="5"/>
        <item x="10"/>
        <item x="1"/>
        <item x="2"/>
        <item x="8"/>
        <item x="6"/>
        <item x="7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dataField="1" numFmtId="44" showAll="0"/>
    <pivotField numFmtId="44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8" baseField="1" baseItem="0" numFmtId="4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0EE98-FFF3-46F8-9DB7-2D9C16911A7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iscount Offered">
  <location ref="B23:C31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44" showAll="0"/>
    <pivotField dataField="1" numFmtId="44" showAll="0"/>
    <pivotField axis="axisRow" showAll="0">
      <items count="8">
        <item x="3"/>
        <item x="4"/>
        <item x="0"/>
        <item x="5"/>
        <item x="6"/>
        <item x="2"/>
        <item x="1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rofit" fld="9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9ED93-0450-4528-978B-B2C9194AAF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23:I27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dataField="1" numFmtId="44" showAll="0"/>
    <pivotField numFmtId="44" showAll="0"/>
    <pivotField showAll="0"/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Total Sales" fld="8" baseField="5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53278-FE67-48F5-8FBC-1D1B3C17DE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Top Cities">
  <location ref="H6:I15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9">
        <item x="6"/>
        <item x="5"/>
        <item x="2"/>
        <item x="1"/>
        <item x="7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dataField="1" numFmtId="44" showAll="0"/>
    <pivotField numFmtId="44" showAll="0"/>
    <pivotField showAll="0"/>
  </pivotFields>
  <rowFields count="1">
    <field x="4"/>
  </rowFields>
  <rowItems count="9">
    <i>
      <x v="2"/>
    </i>
    <i>
      <x v="6"/>
    </i>
    <i>
      <x v="7"/>
    </i>
    <i>
      <x/>
    </i>
    <i>
      <x v="5"/>
    </i>
    <i>
      <x v="1"/>
    </i>
    <i>
      <x v="4"/>
    </i>
    <i>
      <x v="3"/>
    </i>
    <i t="grand">
      <x/>
    </i>
  </rowItems>
  <colItems count="1">
    <i/>
  </colItems>
  <dataFields count="1">
    <dataField name="Total Sales" fld="8" baseField="4" baseItem="2" numFmtId="44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768F9-2073-49D2-866A-D756623BA6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s">
  <location ref="E23:F2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6">
        <item x="6"/>
        <item x="4"/>
        <item x="7"/>
        <item x="9"/>
        <item x="5"/>
        <item x="2"/>
        <item x="3"/>
        <item x="13"/>
        <item x="1"/>
        <item x="10"/>
        <item x="14"/>
        <item x="12"/>
        <item x="11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dataField="1" numFmtId="44" showAll="0"/>
    <pivotField numFmtId="44" showAll="0"/>
    <pivotField showAll="0"/>
  </pivotFields>
  <rowFields count="1">
    <field x="6"/>
  </rowFields>
  <rowItems count="6">
    <i>
      <x v="12"/>
    </i>
    <i>
      <x v="7"/>
    </i>
    <i>
      <x v="5"/>
    </i>
    <i>
      <x v="6"/>
    </i>
    <i>
      <x v="11"/>
    </i>
    <i t="grand">
      <x/>
    </i>
  </rowItems>
  <colItems count="1">
    <i/>
  </colItems>
  <dataFields count="1">
    <dataField name="Total Sales" fld="8" baseField="6" baseItem="12" numFmtId="4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valueLessThan" evalOrder="-1" id="2" iMeasureFld="0">
      <autoFilter ref="A1">
        <filterColumn colId="0">
          <customFilters>
            <customFilter operator="lessThan" val="173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166C1-482C-4F7A-8AF9-B6CA8C1C9D49}" name="Table1" displayName="Table1" ref="A1:K301" totalsRowShown="0" dataDxfId="11">
  <autoFilter ref="A1:K301" xr:uid="{A40166C1-482C-4F7A-8AF9-B6CA8C1C9D49}"/>
  <tableColumns count="11">
    <tableColumn id="1" xr3:uid="{EB882C8A-B2CF-448F-AA13-F5A0D7CBDDF7}" name="Order ID" dataDxfId="10"/>
    <tableColumn id="11" xr3:uid="{DEC30910-8E4A-4DC5-80F9-B507F6D825D3}" name="Month" dataDxfId="9">
      <calculatedColumnFormula>TEXT(Table1[[#This Row],[Date]],"MMMM")</calculatedColumnFormula>
    </tableColumn>
    <tableColumn id="2" xr3:uid="{6280F117-B7FE-4F44-8628-F8BAF2330693}" name="Date" dataDxfId="8"/>
    <tableColumn id="3" xr3:uid="{22F650F9-521F-436C-B612-D62EBBABC64C}" name="Customer Name" dataDxfId="7"/>
    <tableColumn id="4" xr3:uid="{E5852B02-3415-41A7-86EC-2EF05CFC5641}" name="City" dataDxfId="6"/>
    <tableColumn id="5" xr3:uid="{2372F628-ECB9-4860-82D3-861CE5E34FF5}" name="Category" dataDxfId="5"/>
    <tableColumn id="6" xr3:uid="{6A2C032F-5569-4712-B785-81E776C1815C}" name="Product" dataDxfId="4"/>
    <tableColumn id="7" xr3:uid="{A70EF155-63D6-47DD-9B03-DDEDE6EE9D08}" name="Quantity" dataDxfId="3"/>
    <tableColumn id="8" xr3:uid="{20D0914E-FE53-4481-B7FE-9470FB5FDDB2}" name="Sales" dataDxfId="2" dataCellStyle="Currency"/>
    <tableColumn id="9" xr3:uid="{650203BC-3736-48DE-BA10-56FB4DECB7B3}" name="Profit" dataDxfId="1" dataCellStyle="Currency"/>
    <tableColumn id="10" xr3:uid="{B72244AE-CB29-4764-B546-D5F31E5CF86C}" name="Dis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opLeftCell="A13" workbookViewId="0">
      <selection activeCell="F12" sqref="F12"/>
    </sheetView>
  </sheetViews>
  <sheetFormatPr defaultRowHeight="14.4" x14ac:dyDescent="0.3"/>
  <cols>
    <col min="1" max="7" width="18" customWidth="1"/>
    <col min="8" max="8" width="18" style="4" customWidth="1"/>
    <col min="9" max="10" width="18" style="2" customWidth="1"/>
    <col min="11" max="11" width="18" customWidth="1"/>
    <col min="13" max="13" width="30.44140625" customWidth="1"/>
    <col min="14" max="14" width="13.88671875" bestFit="1" customWidth="1"/>
  </cols>
  <sheetData>
    <row r="1" spans="1:14" x14ac:dyDescent="0.3">
      <c r="A1" t="s">
        <v>0</v>
      </c>
      <c r="B1" t="s">
        <v>565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s="2" t="s">
        <v>7</v>
      </c>
      <c r="J1" s="2" t="s">
        <v>8</v>
      </c>
      <c r="K1" t="s">
        <v>9</v>
      </c>
    </row>
    <row r="2" spans="1:14" x14ac:dyDescent="0.3">
      <c r="A2" s="1" t="s">
        <v>10</v>
      </c>
      <c r="B2" s="1" t="str">
        <f>TEXT(Table1[[#This Row],[Date]],"MMMM")</f>
        <v>December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5">
        <v>8</v>
      </c>
      <c r="I2" s="3">
        <v>16202.45</v>
      </c>
      <c r="J2" s="3">
        <v>2371.48</v>
      </c>
      <c r="K2" s="1">
        <v>10</v>
      </c>
    </row>
    <row r="3" spans="1:14" x14ac:dyDescent="0.3">
      <c r="A3" s="1" t="s">
        <v>16</v>
      </c>
      <c r="B3" s="1" t="str">
        <f>TEXT(Table1[[#This Row],[Date]],"MMMM")</f>
        <v>June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5">
        <v>2</v>
      </c>
      <c r="I3" s="3">
        <v>6374.36</v>
      </c>
      <c r="J3" s="3">
        <v>-110.17</v>
      </c>
      <c r="K3" s="1">
        <v>30</v>
      </c>
    </row>
    <row r="4" spans="1:14" x14ac:dyDescent="0.3">
      <c r="A4" s="1" t="s">
        <v>22</v>
      </c>
      <c r="B4" s="1" t="str">
        <f>TEXT(Table1[[#This Row],[Date]],"MMMM")</f>
        <v>July</v>
      </c>
      <c r="C4" s="1" t="s">
        <v>23</v>
      </c>
      <c r="D4" s="1" t="s">
        <v>24</v>
      </c>
      <c r="E4" s="1" t="s">
        <v>25</v>
      </c>
      <c r="F4" s="1" t="s">
        <v>20</v>
      </c>
      <c r="G4" s="1" t="s">
        <v>26</v>
      </c>
      <c r="H4" s="5">
        <v>4</v>
      </c>
      <c r="I4" s="3">
        <v>3264.92</v>
      </c>
      <c r="J4" s="3">
        <v>195.51</v>
      </c>
      <c r="K4" s="1">
        <v>30</v>
      </c>
      <c r="M4" t="s">
        <v>567</v>
      </c>
      <c r="N4" s="6">
        <f>SUM(I:I)</f>
        <v>3086899.5100000007</v>
      </c>
    </row>
    <row r="5" spans="1:14" x14ac:dyDescent="0.3">
      <c r="A5" s="1" t="s">
        <v>27</v>
      </c>
      <c r="B5" s="1" t="str">
        <f>TEXT(Table1[[#This Row],[Date]],"MMMM")</f>
        <v>November</v>
      </c>
      <c r="C5" s="1" t="s">
        <v>28</v>
      </c>
      <c r="D5" s="1" t="s">
        <v>29</v>
      </c>
      <c r="E5" s="1" t="s">
        <v>30</v>
      </c>
      <c r="F5" s="1" t="s">
        <v>20</v>
      </c>
      <c r="G5" s="1" t="s">
        <v>26</v>
      </c>
      <c r="H5" s="5">
        <v>1</v>
      </c>
      <c r="I5" s="3">
        <v>2595.92</v>
      </c>
      <c r="J5" s="3">
        <v>-182.66</v>
      </c>
      <c r="K5" s="1">
        <v>25</v>
      </c>
      <c r="M5" t="s">
        <v>568</v>
      </c>
      <c r="N5" s="6">
        <f>SUM(J:J)</f>
        <v>240028.79000000015</v>
      </c>
    </row>
    <row r="6" spans="1:14" x14ac:dyDescent="0.3">
      <c r="A6" s="1" t="s">
        <v>31</v>
      </c>
      <c r="B6" s="1" t="str">
        <f>TEXT(Table1[[#This Row],[Date]],"MMMM")</f>
        <v>February</v>
      </c>
      <c r="C6" s="1" t="s">
        <v>32</v>
      </c>
      <c r="D6" s="1" t="s">
        <v>24</v>
      </c>
      <c r="E6" s="1" t="s">
        <v>30</v>
      </c>
      <c r="F6" s="1" t="s">
        <v>14</v>
      </c>
      <c r="G6" s="1" t="s">
        <v>33</v>
      </c>
      <c r="H6" s="5">
        <v>5</v>
      </c>
      <c r="I6" s="3">
        <v>6695.89</v>
      </c>
      <c r="J6" s="3">
        <v>-589.19000000000005</v>
      </c>
      <c r="K6" s="1">
        <v>30</v>
      </c>
    </row>
    <row r="7" spans="1:14" x14ac:dyDescent="0.3">
      <c r="A7" s="1" t="s">
        <v>34</v>
      </c>
      <c r="B7" s="1" t="str">
        <f>TEXT(Table1[[#This Row],[Date]],"MMMM")</f>
        <v>April</v>
      </c>
      <c r="C7" s="1" t="s">
        <v>35</v>
      </c>
      <c r="D7" s="1" t="s">
        <v>36</v>
      </c>
      <c r="E7" s="1" t="s">
        <v>30</v>
      </c>
      <c r="F7" s="1" t="s">
        <v>37</v>
      </c>
      <c r="G7" s="1" t="s">
        <v>38</v>
      </c>
      <c r="H7" s="5">
        <v>7</v>
      </c>
      <c r="I7" s="3">
        <v>15978.57</v>
      </c>
      <c r="J7" s="3">
        <v>-95.75</v>
      </c>
      <c r="K7" s="1">
        <v>25</v>
      </c>
    </row>
    <row r="8" spans="1:14" x14ac:dyDescent="0.3">
      <c r="A8" s="1" t="s">
        <v>39</v>
      </c>
      <c r="B8" s="1" t="str">
        <f>TEXT(Table1[[#This Row],[Date]],"MMMM")</f>
        <v>November</v>
      </c>
      <c r="C8" s="1" t="s">
        <v>40</v>
      </c>
      <c r="D8" s="1" t="s">
        <v>41</v>
      </c>
      <c r="E8" s="1" t="s">
        <v>19</v>
      </c>
      <c r="F8" s="1" t="s">
        <v>20</v>
      </c>
      <c r="G8" s="1" t="s">
        <v>42</v>
      </c>
      <c r="H8" s="5">
        <v>3</v>
      </c>
      <c r="I8" s="3">
        <v>10417.86</v>
      </c>
      <c r="J8" s="3">
        <v>1197.78</v>
      </c>
      <c r="K8" s="1">
        <v>25</v>
      </c>
    </row>
    <row r="9" spans="1:14" x14ac:dyDescent="0.3">
      <c r="A9" s="1" t="s">
        <v>43</v>
      </c>
      <c r="B9" s="1" t="str">
        <f>TEXT(Table1[[#This Row],[Date]],"MMMM")</f>
        <v>September</v>
      </c>
      <c r="C9" s="1" t="s">
        <v>44</v>
      </c>
      <c r="D9" s="1" t="s">
        <v>45</v>
      </c>
      <c r="E9" s="1" t="s">
        <v>25</v>
      </c>
      <c r="F9" s="1" t="s">
        <v>37</v>
      </c>
      <c r="G9" s="1" t="s">
        <v>46</v>
      </c>
      <c r="H9" s="5">
        <v>1</v>
      </c>
      <c r="I9" s="3">
        <v>3764.19</v>
      </c>
      <c r="J9" s="3">
        <v>545.11</v>
      </c>
      <c r="K9" s="1">
        <v>0</v>
      </c>
    </row>
    <row r="10" spans="1:14" x14ac:dyDescent="0.3">
      <c r="A10" s="1" t="s">
        <v>47</v>
      </c>
      <c r="B10" s="1" t="str">
        <f>TEXT(Table1[[#This Row],[Date]],"MMMM")</f>
        <v>June</v>
      </c>
      <c r="C10" s="1" t="s">
        <v>48</v>
      </c>
      <c r="D10" s="1" t="s">
        <v>45</v>
      </c>
      <c r="E10" s="1" t="s">
        <v>49</v>
      </c>
      <c r="F10" s="1" t="s">
        <v>14</v>
      </c>
      <c r="G10" s="1" t="s">
        <v>15</v>
      </c>
      <c r="H10" s="5">
        <v>7</v>
      </c>
      <c r="I10" s="3">
        <v>29799.8</v>
      </c>
      <c r="J10" s="3">
        <v>2673.5</v>
      </c>
      <c r="K10" s="1">
        <v>0</v>
      </c>
    </row>
    <row r="11" spans="1:14" x14ac:dyDescent="0.3">
      <c r="A11" s="1" t="s">
        <v>50</v>
      </c>
      <c r="B11" s="1" t="str">
        <f>TEXT(Table1[[#This Row],[Date]],"MMMM")</f>
        <v>September</v>
      </c>
      <c r="C11" s="1" t="s">
        <v>51</v>
      </c>
      <c r="D11" s="1" t="s">
        <v>52</v>
      </c>
      <c r="E11" s="1" t="s">
        <v>13</v>
      </c>
      <c r="F11" s="1" t="s">
        <v>20</v>
      </c>
      <c r="G11" s="1" t="s">
        <v>26</v>
      </c>
      <c r="H11" s="5">
        <v>7</v>
      </c>
      <c r="I11" s="3">
        <v>17969.77</v>
      </c>
      <c r="J11" s="3">
        <v>2683.23</v>
      </c>
      <c r="K11" s="1">
        <v>5</v>
      </c>
    </row>
    <row r="12" spans="1:14" x14ac:dyDescent="0.3">
      <c r="A12" s="1" t="s">
        <v>53</v>
      </c>
      <c r="B12" s="1" t="str">
        <f>TEXT(Table1[[#This Row],[Date]],"MMMM")</f>
        <v>April</v>
      </c>
      <c r="C12" s="1" t="s">
        <v>54</v>
      </c>
      <c r="D12" s="1" t="s">
        <v>24</v>
      </c>
      <c r="E12" s="1" t="s">
        <v>25</v>
      </c>
      <c r="F12" s="1" t="s">
        <v>37</v>
      </c>
      <c r="G12" s="1" t="s">
        <v>55</v>
      </c>
      <c r="H12" s="5">
        <v>8</v>
      </c>
      <c r="I12" s="3">
        <v>26887.81</v>
      </c>
      <c r="J12" s="3">
        <v>1153.94</v>
      </c>
      <c r="K12" s="1">
        <v>25</v>
      </c>
    </row>
    <row r="13" spans="1:14" x14ac:dyDescent="0.3">
      <c r="A13" s="1" t="s">
        <v>56</v>
      </c>
      <c r="B13" s="1" t="str">
        <f>TEXT(Table1[[#This Row],[Date]],"MMMM")</f>
        <v>October</v>
      </c>
      <c r="C13" s="1" t="s">
        <v>57</v>
      </c>
      <c r="D13" s="1" t="s">
        <v>58</v>
      </c>
      <c r="E13" s="1" t="s">
        <v>59</v>
      </c>
      <c r="F13" s="1" t="s">
        <v>37</v>
      </c>
      <c r="G13" s="1" t="s">
        <v>46</v>
      </c>
      <c r="H13" s="5">
        <v>8</v>
      </c>
      <c r="I13" s="3">
        <v>2245.4899999999998</v>
      </c>
      <c r="J13" s="3">
        <v>362.81</v>
      </c>
      <c r="K13" s="1">
        <v>10</v>
      </c>
    </row>
    <row r="14" spans="1:14" x14ac:dyDescent="0.3">
      <c r="A14" s="1" t="s">
        <v>60</v>
      </c>
      <c r="B14" s="1" t="str">
        <f>TEXT(Table1[[#This Row],[Date]],"MMMM")</f>
        <v>July</v>
      </c>
      <c r="C14" s="1" t="s">
        <v>61</v>
      </c>
      <c r="D14" s="1" t="s">
        <v>12</v>
      </c>
      <c r="E14" s="1" t="s">
        <v>30</v>
      </c>
      <c r="F14" s="1" t="s">
        <v>20</v>
      </c>
      <c r="G14" s="1" t="s">
        <v>21</v>
      </c>
      <c r="H14" s="5">
        <v>3</v>
      </c>
      <c r="I14" s="3">
        <v>11791.92</v>
      </c>
      <c r="J14" s="3">
        <v>1425.38</v>
      </c>
      <c r="K14" s="1">
        <v>10</v>
      </c>
    </row>
    <row r="15" spans="1:14" x14ac:dyDescent="0.3">
      <c r="A15" s="1" t="s">
        <v>62</v>
      </c>
      <c r="B15" s="1" t="str">
        <f>TEXT(Table1[[#This Row],[Date]],"MMMM")</f>
        <v>June</v>
      </c>
      <c r="C15" s="1" t="s">
        <v>48</v>
      </c>
      <c r="D15" s="1" t="s">
        <v>24</v>
      </c>
      <c r="E15" s="1" t="s">
        <v>63</v>
      </c>
      <c r="F15" s="1" t="s">
        <v>37</v>
      </c>
      <c r="G15" s="1" t="s">
        <v>64</v>
      </c>
      <c r="H15" s="5">
        <v>4</v>
      </c>
      <c r="I15" s="3">
        <v>17111.8</v>
      </c>
      <c r="J15" s="3">
        <v>2612.6799999999998</v>
      </c>
      <c r="K15" s="1">
        <v>0</v>
      </c>
    </row>
    <row r="16" spans="1:14" x14ac:dyDescent="0.3">
      <c r="A16" s="1" t="s">
        <v>65</v>
      </c>
      <c r="B16" s="1" t="str">
        <f>TEXT(Table1[[#This Row],[Date]],"MMMM")</f>
        <v>April</v>
      </c>
      <c r="C16" s="1" t="s">
        <v>66</v>
      </c>
      <c r="D16" s="1" t="s">
        <v>67</v>
      </c>
      <c r="E16" s="1" t="s">
        <v>19</v>
      </c>
      <c r="F16" s="1" t="s">
        <v>20</v>
      </c>
      <c r="G16" s="1" t="s">
        <v>68</v>
      </c>
      <c r="H16" s="5">
        <v>2</v>
      </c>
      <c r="I16" s="3">
        <v>7747.19</v>
      </c>
      <c r="J16" s="3">
        <v>1461.91</v>
      </c>
      <c r="K16" s="1">
        <v>0</v>
      </c>
    </row>
    <row r="17" spans="1:11" x14ac:dyDescent="0.3">
      <c r="A17" s="1" t="s">
        <v>69</v>
      </c>
      <c r="B17" s="1" t="str">
        <f>TEXT(Table1[[#This Row],[Date]],"MMMM")</f>
        <v>December</v>
      </c>
      <c r="C17" s="1" t="s">
        <v>70</v>
      </c>
      <c r="D17" s="1" t="s">
        <v>71</v>
      </c>
      <c r="E17" s="1" t="s">
        <v>13</v>
      </c>
      <c r="F17" s="1" t="s">
        <v>14</v>
      </c>
      <c r="G17" s="1" t="s">
        <v>33</v>
      </c>
      <c r="H17" s="5">
        <v>1</v>
      </c>
      <c r="I17" s="3">
        <v>369.91</v>
      </c>
      <c r="J17" s="3">
        <v>51.11</v>
      </c>
      <c r="K17" s="1">
        <v>15</v>
      </c>
    </row>
    <row r="18" spans="1:11" x14ac:dyDescent="0.3">
      <c r="A18" s="1" t="s">
        <v>72</v>
      </c>
      <c r="B18" s="1" t="str">
        <f>TEXT(Table1[[#This Row],[Date]],"MMMM")</f>
        <v>September</v>
      </c>
      <c r="C18" s="1" t="s">
        <v>73</v>
      </c>
      <c r="D18" s="1" t="s">
        <v>12</v>
      </c>
      <c r="E18" s="1" t="s">
        <v>49</v>
      </c>
      <c r="F18" s="1" t="s">
        <v>14</v>
      </c>
      <c r="G18" s="1" t="s">
        <v>33</v>
      </c>
      <c r="H18" s="5">
        <v>3</v>
      </c>
      <c r="I18" s="3">
        <v>6005.76</v>
      </c>
      <c r="J18" s="3">
        <v>-127.08</v>
      </c>
      <c r="K18" s="1">
        <v>20</v>
      </c>
    </row>
    <row r="19" spans="1:11" x14ac:dyDescent="0.3">
      <c r="A19" s="1" t="s">
        <v>74</v>
      </c>
      <c r="B19" s="1" t="str">
        <f>TEXT(Table1[[#This Row],[Date]],"MMMM")</f>
        <v>July</v>
      </c>
      <c r="C19" s="1" t="s">
        <v>23</v>
      </c>
      <c r="D19" s="1" t="s">
        <v>36</v>
      </c>
      <c r="E19" s="1" t="s">
        <v>63</v>
      </c>
      <c r="F19" s="1" t="s">
        <v>37</v>
      </c>
      <c r="G19" s="1" t="s">
        <v>38</v>
      </c>
      <c r="H19" s="5">
        <v>6</v>
      </c>
      <c r="I19" s="3">
        <v>14245.94</v>
      </c>
      <c r="J19" s="3">
        <v>98.23</v>
      </c>
      <c r="K19" s="1">
        <v>25</v>
      </c>
    </row>
    <row r="20" spans="1:11" x14ac:dyDescent="0.3">
      <c r="A20" s="1" t="s">
        <v>75</v>
      </c>
      <c r="B20" s="1" t="str">
        <f>TEXT(Table1[[#This Row],[Date]],"MMMM")</f>
        <v>June</v>
      </c>
      <c r="C20" s="1" t="s">
        <v>76</v>
      </c>
      <c r="D20" s="1" t="s">
        <v>41</v>
      </c>
      <c r="E20" s="1" t="s">
        <v>49</v>
      </c>
      <c r="F20" s="1" t="s">
        <v>14</v>
      </c>
      <c r="G20" s="1" t="s">
        <v>77</v>
      </c>
      <c r="H20" s="5">
        <v>6</v>
      </c>
      <c r="I20" s="3">
        <v>14851.71</v>
      </c>
      <c r="J20" s="3">
        <v>680.32</v>
      </c>
      <c r="K20" s="1">
        <v>15</v>
      </c>
    </row>
    <row r="21" spans="1:11" x14ac:dyDescent="0.3">
      <c r="A21" s="1" t="s">
        <v>78</v>
      </c>
      <c r="B21" s="1" t="str">
        <f>TEXT(Table1[[#This Row],[Date]],"MMMM")</f>
        <v>July</v>
      </c>
      <c r="C21" s="1" t="s">
        <v>79</v>
      </c>
      <c r="D21" s="1" t="s">
        <v>18</v>
      </c>
      <c r="E21" s="1" t="s">
        <v>80</v>
      </c>
      <c r="F21" s="1" t="s">
        <v>14</v>
      </c>
      <c r="G21" s="1" t="s">
        <v>33</v>
      </c>
      <c r="H21" s="5">
        <v>7</v>
      </c>
      <c r="I21" s="3">
        <v>22279.21</v>
      </c>
      <c r="J21" s="3">
        <v>-1077.5</v>
      </c>
      <c r="K21" s="1">
        <v>25</v>
      </c>
    </row>
    <row r="22" spans="1:11" x14ac:dyDescent="0.3">
      <c r="A22" s="1" t="s">
        <v>81</v>
      </c>
      <c r="B22" s="1" t="str">
        <f>TEXT(Table1[[#This Row],[Date]],"MMMM")</f>
        <v>August</v>
      </c>
      <c r="C22" s="1" t="s">
        <v>82</v>
      </c>
      <c r="D22" s="1" t="s">
        <v>52</v>
      </c>
      <c r="E22" s="1" t="s">
        <v>63</v>
      </c>
      <c r="F22" s="1" t="s">
        <v>37</v>
      </c>
      <c r="G22" s="1" t="s">
        <v>83</v>
      </c>
      <c r="H22" s="5">
        <v>6</v>
      </c>
      <c r="I22" s="3">
        <v>8686.49</v>
      </c>
      <c r="J22" s="3">
        <v>1030.4000000000001</v>
      </c>
      <c r="K22" s="1">
        <v>0</v>
      </c>
    </row>
    <row r="23" spans="1:11" x14ac:dyDescent="0.3">
      <c r="A23" s="1" t="s">
        <v>84</v>
      </c>
      <c r="B23" s="1" t="str">
        <f>TEXT(Table1[[#This Row],[Date]],"MMMM")</f>
        <v>November</v>
      </c>
      <c r="C23" s="1" t="s">
        <v>85</v>
      </c>
      <c r="D23" s="1" t="s">
        <v>36</v>
      </c>
      <c r="E23" s="1" t="s">
        <v>30</v>
      </c>
      <c r="F23" s="1" t="s">
        <v>37</v>
      </c>
      <c r="G23" s="1" t="s">
        <v>38</v>
      </c>
      <c r="H23" s="5">
        <v>5</v>
      </c>
      <c r="I23" s="3">
        <v>13924.53</v>
      </c>
      <c r="J23" s="3">
        <v>1557.57</v>
      </c>
      <c r="K23" s="1">
        <v>0</v>
      </c>
    </row>
    <row r="24" spans="1:11" x14ac:dyDescent="0.3">
      <c r="A24" s="1" t="s">
        <v>86</v>
      </c>
      <c r="B24" s="1" t="str">
        <f>TEXT(Table1[[#This Row],[Date]],"MMMM")</f>
        <v>September</v>
      </c>
      <c r="C24" s="1" t="s">
        <v>87</v>
      </c>
      <c r="D24" s="1" t="s">
        <v>88</v>
      </c>
      <c r="E24" s="1" t="s">
        <v>63</v>
      </c>
      <c r="F24" s="1" t="s">
        <v>37</v>
      </c>
      <c r="G24" s="1" t="s">
        <v>64</v>
      </c>
      <c r="H24" s="5">
        <v>7</v>
      </c>
      <c r="I24" s="3">
        <v>19256.05</v>
      </c>
      <c r="J24" s="3">
        <v>340.7</v>
      </c>
      <c r="K24" s="1">
        <v>15</v>
      </c>
    </row>
    <row r="25" spans="1:11" x14ac:dyDescent="0.3">
      <c r="A25" s="1" t="s">
        <v>89</v>
      </c>
      <c r="B25" s="1" t="str">
        <f>TEXT(Table1[[#This Row],[Date]],"MMMM")</f>
        <v>April</v>
      </c>
      <c r="C25" s="1" t="s">
        <v>90</v>
      </c>
      <c r="D25" s="1" t="s">
        <v>91</v>
      </c>
      <c r="E25" s="1" t="s">
        <v>25</v>
      </c>
      <c r="F25" s="1" t="s">
        <v>14</v>
      </c>
      <c r="G25" s="1" t="s">
        <v>15</v>
      </c>
      <c r="H25" s="5">
        <v>3</v>
      </c>
      <c r="I25" s="3">
        <v>7600.43</v>
      </c>
      <c r="J25" s="3">
        <v>-331.79</v>
      </c>
      <c r="K25" s="1">
        <v>30</v>
      </c>
    </row>
    <row r="26" spans="1:11" x14ac:dyDescent="0.3">
      <c r="A26" s="1" t="s">
        <v>92</v>
      </c>
      <c r="B26" s="1" t="str">
        <f>TEXT(Table1[[#This Row],[Date]],"MMMM")</f>
        <v>March</v>
      </c>
      <c r="C26" s="1" t="s">
        <v>93</v>
      </c>
      <c r="D26" s="1" t="s">
        <v>52</v>
      </c>
      <c r="E26" s="1" t="s">
        <v>80</v>
      </c>
      <c r="F26" s="1" t="s">
        <v>37</v>
      </c>
      <c r="G26" s="1" t="s">
        <v>55</v>
      </c>
      <c r="H26" s="5">
        <v>7</v>
      </c>
      <c r="I26" s="3">
        <v>21686.82</v>
      </c>
      <c r="J26" s="3">
        <v>2313.65</v>
      </c>
      <c r="K26" s="1">
        <v>10</v>
      </c>
    </row>
    <row r="27" spans="1:11" x14ac:dyDescent="0.3">
      <c r="A27" s="1" t="s">
        <v>94</v>
      </c>
      <c r="B27" s="1" t="str">
        <f>TEXT(Table1[[#This Row],[Date]],"MMMM")</f>
        <v>December</v>
      </c>
      <c r="C27" s="1" t="s">
        <v>70</v>
      </c>
      <c r="D27" s="1" t="s">
        <v>95</v>
      </c>
      <c r="E27" s="1" t="s">
        <v>59</v>
      </c>
      <c r="F27" s="1" t="s">
        <v>14</v>
      </c>
      <c r="G27" s="1" t="s">
        <v>96</v>
      </c>
      <c r="H27" s="5">
        <v>5</v>
      </c>
      <c r="I27" s="3">
        <v>8049.16</v>
      </c>
      <c r="J27" s="3">
        <v>874.14</v>
      </c>
      <c r="K27" s="1">
        <v>15</v>
      </c>
    </row>
    <row r="28" spans="1:11" x14ac:dyDescent="0.3">
      <c r="A28" s="1" t="s">
        <v>97</v>
      </c>
      <c r="B28" s="1" t="str">
        <f>TEXT(Table1[[#This Row],[Date]],"MMMM")</f>
        <v>November</v>
      </c>
      <c r="C28" s="1" t="s">
        <v>28</v>
      </c>
      <c r="D28" s="1" t="s">
        <v>18</v>
      </c>
      <c r="E28" s="1" t="s">
        <v>80</v>
      </c>
      <c r="F28" s="1" t="s">
        <v>20</v>
      </c>
      <c r="G28" s="1" t="s">
        <v>26</v>
      </c>
      <c r="H28" s="5">
        <v>5</v>
      </c>
      <c r="I28" s="3">
        <v>12264.8</v>
      </c>
      <c r="J28" s="3">
        <v>731.57</v>
      </c>
      <c r="K28" s="1">
        <v>30</v>
      </c>
    </row>
    <row r="29" spans="1:11" x14ac:dyDescent="0.3">
      <c r="A29" s="1" t="s">
        <v>98</v>
      </c>
      <c r="B29" s="1" t="str">
        <f>TEXT(Table1[[#This Row],[Date]],"MMMM")</f>
        <v>November</v>
      </c>
      <c r="C29" s="1" t="s">
        <v>99</v>
      </c>
      <c r="D29" s="1" t="s">
        <v>18</v>
      </c>
      <c r="E29" s="1" t="s">
        <v>25</v>
      </c>
      <c r="F29" s="1" t="s">
        <v>37</v>
      </c>
      <c r="G29" s="1" t="s">
        <v>64</v>
      </c>
      <c r="H29" s="5">
        <v>5</v>
      </c>
      <c r="I29" s="3">
        <v>6974.47</v>
      </c>
      <c r="J29" s="3">
        <v>828.62</v>
      </c>
      <c r="K29" s="1">
        <v>15</v>
      </c>
    </row>
    <row r="30" spans="1:11" x14ac:dyDescent="0.3">
      <c r="A30" s="1" t="s">
        <v>100</v>
      </c>
      <c r="B30" s="1" t="str">
        <f>TEXT(Table1[[#This Row],[Date]],"MMMM")</f>
        <v>July</v>
      </c>
      <c r="C30" s="1" t="s">
        <v>101</v>
      </c>
      <c r="D30" s="1" t="s">
        <v>67</v>
      </c>
      <c r="E30" s="1" t="s">
        <v>80</v>
      </c>
      <c r="F30" s="1" t="s">
        <v>14</v>
      </c>
      <c r="G30" s="1" t="s">
        <v>15</v>
      </c>
      <c r="H30" s="5">
        <v>3</v>
      </c>
      <c r="I30" s="3">
        <v>9833.9599999999991</v>
      </c>
      <c r="J30" s="3">
        <v>115.95</v>
      </c>
      <c r="K30" s="1">
        <v>30</v>
      </c>
    </row>
    <row r="31" spans="1:11" x14ac:dyDescent="0.3">
      <c r="A31" s="1" t="s">
        <v>102</v>
      </c>
      <c r="B31" s="1" t="str">
        <f>TEXT(Table1[[#This Row],[Date]],"MMMM")</f>
        <v>July</v>
      </c>
      <c r="C31" s="1" t="s">
        <v>103</v>
      </c>
      <c r="D31" s="1" t="s">
        <v>41</v>
      </c>
      <c r="E31" s="1" t="s">
        <v>19</v>
      </c>
      <c r="F31" s="1" t="s">
        <v>14</v>
      </c>
      <c r="G31" s="1" t="s">
        <v>15</v>
      </c>
      <c r="H31" s="5">
        <v>4</v>
      </c>
      <c r="I31" s="3">
        <v>7597.24</v>
      </c>
      <c r="J31" s="3">
        <v>1251.8399999999999</v>
      </c>
      <c r="K31" s="1">
        <v>5</v>
      </c>
    </row>
    <row r="32" spans="1:11" x14ac:dyDescent="0.3">
      <c r="A32" s="1" t="s">
        <v>104</v>
      </c>
      <c r="B32" s="1" t="str">
        <f>TEXT(Table1[[#This Row],[Date]],"MMMM")</f>
        <v>April</v>
      </c>
      <c r="C32" s="1" t="s">
        <v>105</v>
      </c>
      <c r="D32" s="1" t="s">
        <v>71</v>
      </c>
      <c r="E32" s="1" t="s">
        <v>25</v>
      </c>
      <c r="F32" s="1" t="s">
        <v>20</v>
      </c>
      <c r="G32" s="1" t="s">
        <v>26</v>
      </c>
      <c r="H32" s="5">
        <v>5</v>
      </c>
      <c r="I32" s="3">
        <v>9701.57</v>
      </c>
      <c r="J32" s="3">
        <v>-13.38</v>
      </c>
      <c r="K32" s="1">
        <v>20</v>
      </c>
    </row>
    <row r="33" spans="1:11" x14ac:dyDescent="0.3">
      <c r="A33" s="1" t="s">
        <v>106</v>
      </c>
      <c r="B33" s="1" t="str">
        <f>TEXT(Table1[[#This Row],[Date]],"MMMM")</f>
        <v>December</v>
      </c>
      <c r="C33" s="1" t="s">
        <v>107</v>
      </c>
      <c r="D33" s="1" t="s">
        <v>41</v>
      </c>
      <c r="E33" s="1" t="s">
        <v>25</v>
      </c>
      <c r="F33" s="1" t="s">
        <v>37</v>
      </c>
      <c r="G33" s="1" t="s">
        <v>38</v>
      </c>
      <c r="H33" s="5">
        <v>8</v>
      </c>
      <c r="I33" s="3">
        <v>35145.660000000003</v>
      </c>
      <c r="J33" s="3">
        <v>6208.44</v>
      </c>
      <c r="K33" s="1">
        <v>10</v>
      </c>
    </row>
    <row r="34" spans="1:11" x14ac:dyDescent="0.3">
      <c r="A34" s="1" t="s">
        <v>108</v>
      </c>
      <c r="B34" s="1" t="str">
        <f>TEXT(Table1[[#This Row],[Date]],"MMMM")</f>
        <v>June</v>
      </c>
      <c r="C34" s="1" t="s">
        <v>76</v>
      </c>
      <c r="D34" s="1" t="s">
        <v>52</v>
      </c>
      <c r="E34" s="1" t="s">
        <v>13</v>
      </c>
      <c r="F34" s="1" t="s">
        <v>20</v>
      </c>
      <c r="G34" s="1" t="s">
        <v>68</v>
      </c>
      <c r="H34" s="5">
        <v>2</v>
      </c>
      <c r="I34" s="3">
        <v>3369.7</v>
      </c>
      <c r="J34" s="3">
        <v>113.12</v>
      </c>
      <c r="K34" s="1">
        <v>10</v>
      </c>
    </row>
    <row r="35" spans="1:11" x14ac:dyDescent="0.3">
      <c r="A35" s="1" t="s">
        <v>109</v>
      </c>
      <c r="B35" s="1" t="str">
        <f>TEXT(Table1[[#This Row],[Date]],"MMMM")</f>
        <v>March</v>
      </c>
      <c r="C35" s="1" t="s">
        <v>110</v>
      </c>
      <c r="D35" s="1" t="s">
        <v>111</v>
      </c>
      <c r="E35" s="1" t="s">
        <v>13</v>
      </c>
      <c r="F35" s="1" t="s">
        <v>14</v>
      </c>
      <c r="G35" s="1" t="s">
        <v>33</v>
      </c>
      <c r="H35" s="5">
        <v>5</v>
      </c>
      <c r="I35" s="3">
        <v>14644.28</v>
      </c>
      <c r="J35" s="3">
        <v>1187.6199999999999</v>
      </c>
      <c r="K35" s="1">
        <v>10</v>
      </c>
    </row>
    <row r="36" spans="1:11" x14ac:dyDescent="0.3">
      <c r="A36" s="1" t="s">
        <v>112</v>
      </c>
      <c r="B36" s="1" t="str">
        <f>TEXT(Table1[[#This Row],[Date]],"MMMM")</f>
        <v>September</v>
      </c>
      <c r="C36" s="1" t="s">
        <v>113</v>
      </c>
      <c r="D36" s="1" t="s">
        <v>88</v>
      </c>
      <c r="E36" s="1" t="s">
        <v>49</v>
      </c>
      <c r="F36" s="1" t="s">
        <v>20</v>
      </c>
      <c r="G36" s="1" t="s">
        <v>114</v>
      </c>
      <c r="H36" s="5">
        <v>3</v>
      </c>
      <c r="I36" s="3">
        <v>12930.23</v>
      </c>
      <c r="J36" s="3">
        <v>1970.78</v>
      </c>
      <c r="K36" s="1">
        <v>10</v>
      </c>
    </row>
    <row r="37" spans="1:11" x14ac:dyDescent="0.3">
      <c r="A37" s="1" t="s">
        <v>115</v>
      </c>
      <c r="B37" s="1" t="str">
        <f>TEXT(Table1[[#This Row],[Date]],"MMMM")</f>
        <v>February</v>
      </c>
      <c r="C37" s="1" t="s">
        <v>116</v>
      </c>
      <c r="D37" s="1" t="s">
        <v>45</v>
      </c>
      <c r="E37" s="1" t="s">
        <v>49</v>
      </c>
      <c r="F37" s="1" t="s">
        <v>14</v>
      </c>
      <c r="G37" s="1" t="s">
        <v>33</v>
      </c>
      <c r="H37" s="5">
        <v>5</v>
      </c>
      <c r="I37" s="3">
        <v>3570.09</v>
      </c>
      <c r="J37" s="3">
        <v>416.93</v>
      </c>
      <c r="K37" s="1">
        <v>15</v>
      </c>
    </row>
    <row r="38" spans="1:11" x14ac:dyDescent="0.3">
      <c r="A38" s="1" t="s">
        <v>117</v>
      </c>
      <c r="B38" s="1" t="str">
        <f>TEXT(Table1[[#This Row],[Date]],"MMMM")</f>
        <v>November</v>
      </c>
      <c r="C38" s="1" t="s">
        <v>118</v>
      </c>
      <c r="D38" s="1" t="s">
        <v>91</v>
      </c>
      <c r="E38" s="1" t="s">
        <v>30</v>
      </c>
      <c r="F38" s="1" t="s">
        <v>37</v>
      </c>
      <c r="G38" s="1" t="s">
        <v>46</v>
      </c>
      <c r="H38" s="5">
        <v>4</v>
      </c>
      <c r="I38" s="3">
        <v>7852.95</v>
      </c>
      <c r="J38" s="3">
        <v>1178.44</v>
      </c>
      <c r="K38" s="1">
        <v>5</v>
      </c>
    </row>
    <row r="39" spans="1:11" x14ac:dyDescent="0.3">
      <c r="A39" s="1" t="s">
        <v>119</v>
      </c>
      <c r="B39" s="1" t="str">
        <f>TEXT(Table1[[#This Row],[Date]],"MMMM")</f>
        <v>August</v>
      </c>
      <c r="C39" s="1" t="s">
        <v>120</v>
      </c>
      <c r="D39" s="1" t="s">
        <v>58</v>
      </c>
      <c r="E39" s="1" t="s">
        <v>30</v>
      </c>
      <c r="F39" s="1" t="s">
        <v>37</v>
      </c>
      <c r="G39" s="1" t="s">
        <v>46</v>
      </c>
      <c r="H39" s="5">
        <v>6</v>
      </c>
      <c r="I39" s="3">
        <v>3078.38</v>
      </c>
      <c r="J39" s="3">
        <v>122.4</v>
      </c>
      <c r="K39" s="1">
        <v>20</v>
      </c>
    </row>
    <row r="40" spans="1:11" x14ac:dyDescent="0.3">
      <c r="A40" s="1" t="s">
        <v>121</v>
      </c>
      <c r="B40" s="1" t="str">
        <f>TEXT(Table1[[#This Row],[Date]],"MMMM")</f>
        <v>May</v>
      </c>
      <c r="C40" s="1" t="s">
        <v>122</v>
      </c>
      <c r="D40" s="1" t="s">
        <v>67</v>
      </c>
      <c r="E40" s="1" t="s">
        <v>25</v>
      </c>
      <c r="F40" s="1" t="s">
        <v>37</v>
      </c>
      <c r="G40" s="1" t="s">
        <v>83</v>
      </c>
      <c r="H40" s="5">
        <v>3</v>
      </c>
      <c r="I40" s="3">
        <v>7536.18</v>
      </c>
      <c r="J40" s="3">
        <v>921.75</v>
      </c>
      <c r="K40" s="1">
        <v>5</v>
      </c>
    </row>
    <row r="41" spans="1:11" x14ac:dyDescent="0.3">
      <c r="A41" s="1" t="s">
        <v>123</v>
      </c>
      <c r="B41" s="1" t="str">
        <f>TEXT(Table1[[#This Row],[Date]],"MMMM")</f>
        <v>June</v>
      </c>
      <c r="C41" s="1" t="s">
        <v>76</v>
      </c>
      <c r="D41" s="1" t="s">
        <v>29</v>
      </c>
      <c r="E41" s="1" t="s">
        <v>59</v>
      </c>
      <c r="F41" s="1" t="s">
        <v>37</v>
      </c>
      <c r="G41" s="1" t="s">
        <v>38</v>
      </c>
      <c r="H41" s="5">
        <v>4</v>
      </c>
      <c r="I41" s="3">
        <v>5825.85</v>
      </c>
      <c r="J41" s="3">
        <v>519.46</v>
      </c>
      <c r="K41" s="1">
        <v>20</v>
      </c>
    </row>
    <row r="42" spans="1:11" x14ac:dyDescent="0.3">
      <c r="A42" s="1" t="s">
        <v>124</v>
      </c>
      <c r="B42" s="1" t="str">
        <f>TEXT(Table1[[#This Row],[Date]],"MMMM")</f>
        <v>August</v>
      </c>
      <c r="C42" s="1" t="s">
        <v>125</v>
      </c>
      <c r="D42" s="1" t="s">
        <v>111</v>
      </c>
      <c r="E42" s="1" t="s">
        <v>30</v>
      </c>
      <c r="F42" s="1" t="s">
        <v>20</v>
      </c>
      <c r="G42" s="1" t="s">
        <v>42</v>
      </c>
      <c r="H42" s="5">
        <v>8</v>
      </c>
      <c r="I42" s="3">
        <v>2121.85</v>
      </c>
      <c r="J42" s="3">
        <v>343.36</v>
      </c>
      <c r="K42" s="1">
        <v>10</v>
      </c>
    </row>
    <row r="43" spans="1:11" x14ac:dyDescent="0.3">
      <c r="A43" s="1" t="s">
        <v>126</v>
      </c>
      <c r="B43" s="1" t="str">
        <f>TEXT(Table1[[#This Row],[Date]],"MMMM")</f>
        <v>October</v>
      </c>
      <c r="C43" s="1" t="s">
        <v>127</v>
      </c>
      <c r="D43" s="1" t="s">
        <v>67</v>
      </c>
      <c r="E43" s="1" t="s">
        <v>30</v>
      </c>
      <c r="F43" s="1" t="s">
        <v>20</v>
      </c>
      <c r="G43" s="1" t="s">
        <v>68</v>
      </c>
      <c r="H43" s="5">
        <v>5</v>
      </c>
      <c r="I43" s="3">
        <v>6366.79</v>
      </c>
      <c r="J43" s="3">
        <v>924.4</v>
      </c>
      <c r="K43" s="1">
        <v>20</v>
      </c>
    </row>
    <row r="44" spans="1:11" x14ac:dyDescent="0.3">
      <c r="A44" s="1" t="s">
        <v>128</v>
      </c>
      <c r="B44" s="1" t="str">
        <f>TEXT(Table1[[#This Row],[Date]],"MMMM")</f>
        <v>March</v>
      </c>
      <c r="C44" s="1" t="s">
        <v>129</v>
      </c>
      <c r="D44" s="1" t="s">
        <v>12</v>
      </c>
      <c r="E44" s="1" t="s">
        <v>13</v>
      </c>
      <c r="F44" s="1" t="s">
        <v>37</v>
      </c>
      <c r="G44" s="1" t="s">
        <v>55</v>
      </c>
      <c r="H44" s="5">
        <v>8</v>
      </c>
      <c r="I44" s="3">
        <v>26590.05</v>
      </c>
      <c r="J44" s="3">
        <v>1374.99</v>
      </c>
      <c r="K44" s="1">
        <v>0</v>
      </c>
    </row>
    <row r="45" spans="1:11" x14ac:dyDescent="0.3">
      <c r="A45" s="1" t="s">
        <v>130</v>
      </c>
      <c r="B45" s="1" t="str">
        <f>TEXT(Table1[[#This Row],[Date]],"MMMM")</f>
        <v>March</v>
      </c>
      <c r="C45" s="1" t="s">
        <v>131</v>
      </c>
      <c r="D45" s="1" t="s">
        <v>67</v>
      </c>
      <c r="E45" s="1" t="s">
        <v>49</v>
      </c>
      <c r="F45" s="1" t="s">
        <v>14</v>
      </c>
      <c r="G45" s="1" t="s">
        <v>96</v>
      </c>
      <c r="H45" s="5">
        <v>3</v>
      </c>
      <c r="I45" s="3">
        <v>2584.09</v>
      </c>
      <c r="J45" s="3">
        <v>161.25</v>
      </c>
      <c r="K45" s="1">
        <v>10</v>
      </c>
    </row>
    <row r="46" spans="1:11" x14ac:dyDescent="0.3">
      <c r="A46" s="1" t="s">
        <v>132</v>
      </c>
      <c r="B46" s="1" t="str">
        <f>TEXT(Table1[[#This Row],[Date]],"MMMM")</f>
        <v>April</v>
      </c>
      <c r="C46" s="1" t="s">
        <v>133</v>
      </c>
      <c r="D46" s="1" t="s">
        <v>95</v>
      </c>
      <c r="E46" s="1" t="s">
        <v>13</v>
      </c>
      <c r="F46" s="1" t="s">
        <v>20</v>
      </c>
      <c r="G46" s="1" t="s">
        <v>26</v>
      </c>
      <c r="H46" s="5">
        <v>2</v>
      </c>
      <c r="I46" s="3">
        <v>3454.48</v>
      </c>
      <c r="J46" s="3">
        <v>90.71</v>
      </c>
      <c r="K46" s="1">
        <v>25</v>
      </c>
    </row>
    <row r="47" spans="1:11" x14ac:dyDescent="0.3">
      <c r="A47" s="1" t="s">
        <v>134</v>
      </c>
      <c r="B47" s="1" t="str">
        <f>TEXT(Table1[[#This Row],[Date]],"MMMM")</f>
        <v>December</v>
      </c>
      <c r="C47" s="1" t="s">
        <v>135</v>
      </c>
      <c r="D47" s="1" t="s">
        <v>88</v>
      </c>
      <c r="E47" s="1" t="s">
        <v>30</v>
      </c>
      <c r="F47" s="1" t="s">
        <v>14</v>
      </c>
      <c r="G47" s="1" t="s">
        <v>77</v>
      </c>
      <c r="H47" s="5">
        <v>2</v>
      </c>
      <c r="I47" s="3">
        <v>2141.37</v>
      </c>
      <c r="J47" s="3">
        <v>142.81</v>
      </c>
      <c r="K47" s="1">
        <v>30</v>
      </c>
    </row>
    <row r="48" spans="1:11" x14ac:dyDescent="0.3">
      <c r="A48" s="1" t="s">
        <v>136</v>
      </c>
      <c r="B48" s="1" t="str">
        <f>TEXT(Table1[[#This Row],[Date]],"MMMM")</f>
        <v>June</v>
      </c>
      <c r="C48" s="1" t="s">
        <v>137</v>
      </c>
      <c r="D48" s="1" t="s">
        <v>29</v>
      </c>
      <c r="E48" s="1" t="s">
        <v>49</v>
      </c>
      <c r="F48" s="1" t="s">
        <v>37</v>
      </c>
      <c r="G48" s="1" t="s">
        <v>38</v>
      </c>
      <c r="H48" s="5">
        <v>2</v>
      </c>
      <c r="I48" s="3">
        <v>3111.87</v>
      </c>
      <c r="J48" s="3">
        <v>272.56</v>
      </c>
      <c r="K48" s="1">
        <v>5</v>
      </c>
    </row>
    <row r="49" spans="1:11" x14ac:dyDescent="0.3">
      <c r="A49" s="1" t="s">
        <v>138</v>
      </c>
      <c r="B49" s="1" t="str">
        <f>TEXT(Table1[[#This Row],[Date]],"MMMM")</f>
        <v>November</v>
      </c>
      <c r="C49" s="1" t="s">
        <v>118</v>
      </c>
      <c r="D49" s="1" t="s">
        <v>24</v>
      </c>
      <c r="E49" s="1" t="s">
        <v>25</v>
      </c>
      <c r="F49" s="1" t="s">
        <v>14</v>
      </c>
      <c r="G49" s="1" t="s">
        <v>139</v>
      </c>
      <c r="H49" s="5">
        <v>3</v>
      </c>
      <c r="I49" s="3">
        <v>3011.41</v>
      </c>
      <c r="J49" s="3">
        <v>42.87</v>
      </c>
      <c r="K49" s="1">
        <v>20</v>
      </c>
    </row>
    <row r="50" spans="1:11" x14ac:dyDescent="0.3">
      <c r="A50" s="1" t="s">
        <v>140</v>
      </c>
      <c r="B50" s="1" t="str">
        <f>TEXT(Table1[[#This Row],[Date]],"MMMM")</f>
        <v>September</v>
      </c>
      <c r="C50" s="1" t="s">
        <v>113</v>
      </c>
      <c r="D50" s="1" t="s">
        <v>18</v>
      </c>
      <c r="E50" s="1" t="s">
        <v>30</v>
      </c>
      <c r="F50" s="1" t="s">
        <v>20</v>
      </c>
      <c r="G50" s="1" t="s">
        <v>68</v>
      </c>
      <c r="H50" s="5">
        <v>1</v>
      </c>
      <c r="I50" s="3">
        <v>2060.48</v>
      </c>
      <c r="J50" s="3">
        <v>307.35000000000002</v>
      </c>
      <c r="K50" s="1">
        <v>0</v>
      </c>
    </row>
    <row r="51" spans="1:11" x14ac:dyDescent="0.3">
      <c r="A51" s="1" t="s">
        <v>141</v>
      </c>
      <c r="B51" s="1" t="str">
        <f>TEXT(Table1[[#This Row],[Date]],"MMMM")</f>
        <v>January</v>
      </c>
      <c r="C51" s="1" t="s">
        <v>142</v>
      </c>
      <c r="D51" s="1" t="s">
        <v>143</v>
      </c>
      <c r="E51" s="1" t="s">
        <v>63</v>
      </c>
      <c r="F51" s="1" t="s">
        <v>14</v>
      </c>
      <c r="G51" s="1" t="s">
        <v>139</v>
      </c>
      <c r="H51" s="5">
        <v>6</v>
      </c>
      <c r="I51" s="3">
        <v>5803.16</v>
      </c>
      <c r="J51" s="3">
        <v>635.82000000000005</v>
      </c>
      <c r="K51" s="1">
        <v>20</v>
      </c>
    </row>
    <row r="52" spans="1:11" x14ac:dyDescent="0.3">
      <c r="A52" s="1" t="s">
        <v>144</v>
      </c>
      <c r="B52" s="1" t="str">
        <f>TEXT(Table1[[#This Row],[Date]],"MMMM")</f>
        <v>November</v>
      </c>
      <c r="C52" s="1" t="s">
        <v>118</v>
      </c>
      <c r="D52" s="1" t="s">
        <v>71</v>
      </c>
      <c r="E52" s="1" t="s">
        <v>80</v>
      </c>
      <c r="F52" s="1" t="s">
        <v>20</v>
      </c>
      <c r="G52" s="1" t="s">
        <v>114</v>
      </c>
      <c r="H52" s="5">
        <v>6</v>
      </c>
      <c r="I52" s="3">
        <v>3300.79</v>
      </c>
      <c r="J52" s="3">
        <v>307.45999999999998</v>
      </c>
      <c r="K52" s="1">
        <v>5</v>
      </c>
    </row>
    <row r="53" spans="1:11" x14ac:dyDescent="0.3">
      <c r="A53" s="1" t="s">
        <v>145</v>
      </c>
      <c r="B53" s="1" t="str">
        <f>TEXT(Table1[[#This Row],[Date]],"MMMM")</f>
        <v>May</v>
      </c>
      <c r="C53" s="1" t="s">
        <v>146</v>
      </c>
      <c r="D53" s="1" t="s">
        <v>12</v>
      </c>
      <c r="E53" s="1" t="s">
        <v>49</v>
      </c>
      <c r="F53" s="1" t="s">
        <v>37</v>
      </c>
      <c r="G53" s="1" t="s">
        <v>38</v>
      </c>
      <c r="H53" s="5">
        <v>1</v>
      </c>
      <c r="I53" s="3">
        <v>750.41</v>
      </c>
      <c r="J53" s="3">
        <v>136.83000000000001</v>
      </c>
      <c r="K53" s="1">
        <v>5</v>
      </c>
    </row>
    <row r="54" spans="1:11" x14ac:dyDescent="0.3">
      <c r="A54" s="1" t="s">
        <v>147</v>
      </c>
      <c r="B54" s="1" t="str">
        <f>TEXT(Table1[[#This Row],[Date]],"MMMM")</f>
        <v>November</v>
      </c>
      <c r="C54" s="1" t="s">
        <v>148</v>
      </c>
      <c r="D54" s="1" t="s">
        <v>111</v>
      </c>
      <c r="E54" s="1" t="s">
        <v>25</v>
      </c>
      <c r="F54" s="1" t="s">
        <v>37</v>
      </c>
      <c r="G54" s="1" t="s">
        <v>46</v>
      </c>
      <c r="H54" s="5">
        <v>6</v>
      </c>
      <c r="I54" s="3">
        <v>3779.73</v>
      </c>
      <c r="J54" s="3">
        <v>-31.17</v>
      </c>
      <c r="K54" s="1">
        <v>30</v>
      </c>
    </row>
    <row r="55" spans="1:11" x14ac:dyDescent="0.3">
      <c r="A55" s="1" t="s">
        <v>149</v>
      </c>
      <c r="B55" s="1" t="str">
        <f>TEXT(Table1[[#This Row],[Date]],"MMMM")</f>
        <v>May</v>
      </c>
      <c r="C55" s="1" t="s">
        <v>150</v>
      </c>
      <c r="D55" s="1" t="s">
        <v>111</v>
      </c>
      <c r="E55" s="1" t="s">
        <v>13</v>
      </c>
      <c r="F55" s="1" t="s">
        <v>14</v>
      </c>
      <c r="G55" s="1" t="s">
        <v>77</v>
      </c>
      <c r="H55" s="5">
        <v>2</v>
      </c>
      <c r="I55" s="3">
        <v>4620.34</v>
      </c>
      <c r="J55" s="3">
        <v>-102.62</v>
      </c>
      <c r="K55" s="1">
        <v>20</v>
      </c>
    </row>
    <row r="56" spans="1:11" x14ac:dyDescent="0.3">
      <c r="A56" s="1" t="s">
        <v>151</v>
      </c>
      <c r="B56" s="1" t="str">
        <f>TEXT(Table1[[#This Row],[Date]],"MMMM")</f>
        <v>March</v>
      </c>
      <c r="C56" s="1" t="s">
        <v>152</v>
      </c>
      <c r="D56" s="1" t="s">
        <v>67</v>
      </c>
      <c r="E56" s="1" t="s">
        <v>25</v>
      </c>
      <c r="F56" s="1" t="s">
        <v>20</v>
      </c>
      <c r="G56" s="1" t="s">
        <v>68</v>
      </c>
      <c r="H56" s="5">
        <v>7</v>
      </c>
      <c r="I56" s="3">
        <v>28042.02</v>
      </c>
      <c r="J56" s="3">
        <v>3467.31</v>
      </c>
      <c r="K56" s="1">
        <v>10</v>
      </c>
    </row>
    <row r="57" spans="1:11" x14ac:dyDescent="0.3">
      <c r="A57" s="1" t="s">
        <v>153</v>
      </c>
      <c r="B57" s="1" t="str">
        <f>TEXT(Table1[[#This Row],[Date]],"MMMM")</f>
        <v>April</v>
      </c>
      <c r="C57" s="1" t="s">
        <v>154</v>
      </c>
      <c r="D57" s="1" t="s">
        <v>67</v>
      </c>
      <c r="E57" s="1" t="s">
        <v>19</v>
      </c>
      <c r="F57" s="1" t="s">
        <v>20</v>
      </c>
      <c r="G57" s="1" t="s">
        <v>68</v>
      </c>
      <c r="H57" s="5">
        <v>1</v>
      </c>
      <c r="I57" s="3">
        <v>690.25</v>
      </c>
      <c r="J57" s="3">
        <v>92.38</v>
      </c>
      <c r="K57" s="1">
        <v>20</v>
      </c>
    </row>
    <row r="58" spans="1:11" x14ac:dyDescent="0.3">
      <c r="A58" s="1" t="s">
        <v>155</v>
      </c>
      <c r="B58" s="1" t="str">
        <f>TEXT(Table1[[#This Row],[Date]],"MMMM")</f>
        <v>April</v>
      </c>
      <c r="C58" s="1" t="s">
        <v>156</v>
      </c>
      <c r="D58" s="1" t="s">
        <v>67</v>
      </c>
      <c r="E58" s="1" t="s">
        <v>30</v>
      </c>
      <c r="F58" s="1" t="s">
        <v>37</v>
      </c>
      <c r="G58" s="1" t="s">
        <v>83</v>
      </c>
      <c r="H58" s="5">
        <v>2</v>
      </c>
      <c r="I58" s="3">
        <v>6120.02</v>
      </c>
      <c r="J58" s="3">
        <v>-569.14</v>
      </c>
      <c r="K58" s="1">
        <v>30</v>
      </c>
    </row>
    <row r="59" spans="1:11" x14ac:dyDescent="0.3">
      <c r="A59" s="1" t="s">
        <v>157</v>
      </c>
      <c r="B59" s="1" t="str">
        <f>TEXT(Table1[[#This Row],[Date]],"MMMM")</f>
        <v>April</v>
      </c>
      <c r="C59" s="1" t="s">
        <v>133</v>
      </c>
      <c r="D59" s="1" t="s">
        <v>52</v>
      </c>
      <c r="E59" s="1" t="s">
        <v>63</v>
      </c>
      <c r="F59" s="1" t="s">
        <v>37</v>
      </c>
      <c r="G59" s="1" t="s">
        <v>64</v>
      </c>
      <c r="H59" s="5">
        <v>3</v>
      </c>
      <c r="I59" s="3">
        <v>2276.46</v>
      </c>
      <c r="J59" s="3">
        <v>-13.3</v>
      </c>
      <c r="K59" s="1">
        <v>15</v>
      </c>
    </row>
    <row r="60" spans="1:11" x14ac:dyDescent="0.3">
      <c r="A60" s="1" t="s">
        <v>158</v>
      </c>
      <c r="B60" s="1" t="str">
        <f>TEXT(Table1[[#This Row],[Date]],"MMMM")</f>
        <v>May</v>
      </c>
      <c r="C60" s="1" t="s">
        <v>159</v>
      </c>
      <c r="D60" s="1" t="s">
        <v>111</v>
      </c>
      <c r="E60" s="1" t="s">
        <v>30</v>
      </c>
      <c r="F60" s="1" t="s">
        <v>20</v>
      </c>
      <c r="G60" s="1" t="s">
        <v>68</v>
      </c>
      <c r="H60" s="5">
        <v>2</v>
      </c>
      <c r="I60" s="3">
        <v>9347.93</v>
      </c>
      <c r="J60" s="3">
        <v>1235.03</v>
      </c>
      <c r="K60" s="1">
        <v>5</v>
      </c>
    </row>
    <row r="61" spans="1:11" x14ac:dyDescent="0.3">
      <c r="A61" s="1" t="s">
        <v>160</v>
      </c>
      <c r="B61" s="1" t="str">
        <f>TEXT(Table1[[#This Row],[Date]],"MMMM")</f>
        <v>June</v>
      </c>
      <c r="C61" s="1" t="s">
        <v>161</v>
      </c>
      <c r="D61" s="1" t="s">
        <v>95</v>
      </c>
      <c r="E61" s="1" t="s">
        <v>19</v>
      </c>
      <c r="F61" s="1" t="s">
        <v>37</v>
      </c>
      <c r="G61" s="1" t="s">
        <v>38</v>
      </c>
      <c r="H61" s="5">
        <v>5</v>
      </c>
      <c r="I61" s="3">
        <v>17644.54</v>
      </c>
      <c r="J61" s="3">
        <v>1729.93</v>
      </c>
      <c r="K61" s="1">
        <v>15</v>
      </c>
    </row>
    <row r="62" spans="1:11" x14ac:dyDescent="0.3">
      <c r="A62" s="1" t="s">
        <v>162</v>
      </c>
      <c r="B62" s="1" t="str">
        <f>TEXT(Table1[[#This Row],[Date]],"MMMM")</f>
        <v>September</v>
      </c>
      <c r="C62" s="1" t="s">
        <v>163</v>
      </c>
      <c r="D62" s="1" t="s">
        <v>45</v>
      </c>
      <c r="E62" s="1" t="s">
        <v>30</v>
      </c>
      <c r="F62" s="1" t="s">
        <v>37</v>
      </c>
      <c r="G62" s="1" t="s">
        <v>38</v>
      </c>
      <c r="H62" s="5">
        <v>6</v>
      </c>
      <c r="I62" s="3">
        <v>21297.18</v>
      </c>
      <c r="J62" s="3">
        <v>-873.46</v>
      </c>
      <c r="K62" s="1">
        <v>20</v>
      </c>
    </row>
    <row r="63" spans="1:11" x14ac:dyDescent="0.3">
      <c r="A63" s="1" t="s">
        <v>164</v>
      </c>
      <c r="B63" s="1" t="str">
        <f>TEXT(Table1[[#This Row],[Date]],"MMMM")</f>
        <v>May</v>
      </c>
      <c r="C63" s="1" t="s">
        <v>165</v>
      </c>
      <c r="D63" s="1" t="s">
        <v>58</v>
      </c>
      <c r="E63" s="1" t="s">
        <v>63</v>
      </c>
      <c r="F63" s="1" t="s">
        <v>20</v>
      </c>
      <c r="G63" s="1" t="s">
        <v>42</v>
      </c>
      <c r="H63" s="5">
        <v>7</v>
      </c>
      <c r="I63" s="3">
        <v>29623.43</v>
      </c>
      <c r="J63" s="3">
        <v>3418.97</v>
      </c>
      <c r="K63" s="1">
        <v>15</v>
      </c>
    </row>
    <row r="64" spans="1:11" x14ac:dyDescent="0.3">
      <c r="A64" s="1" t="s">
        <v>166</v>
      </c>
      <c r="B64" s="1" t="str">
        <f>TEXT(Table1[[#This Row],[Date]],"MMMM")</f>
        <v>June</v>
      </c>
      <c r="C64" s="1" t="s">
        <v>167</v>
      </c>
      <c r="D64" s="1" t="s">
        <v>41</v>
      </c>
      <c r="E64" s="1" t="s">
        <v>19</v>
      </c>
      <c r="F64" s="1" t="s">
        <v>20</v>
      </c>
      <c r="G64" s="1" t="s">
        <v>21</v>
      </c>
      <c r="H64" s="5">
        <v>6</v>
      </c>
      <c r="I64" s="3">
        <v>19564.8</v>
      </c>
      <c r="J64" s="3">
        <v>1480.6</v>
      </c>
      <c r="K64" s="1">
        <v>20</v>
      </c>
    </row>
    <row r="65" spans="1:11" x14ac:dyDescent="0.3">
      <c r="A65" s="1" t="s">
        <v>168</v>
      </c>
      <c r="B65" s="1" t="str">
        <f>TEXT(Table1[[#This Row],[Date]],"MMMM")</f>
        <v>April</v>
      </c>
      <c r="C65" s="1" t="s">
        <v>169</v>
      </c>
      <c r="D65" s="1" t="s">
        <v>12</v>
      </c>
      <c r="E65" s="1" t="s">
        <v>80</v>
      </c>
      <c r="F65" s="1" t="s">
        <v>37</v>
      </c>
      <c r="G65" s="1" t="s">
        <v>46</v>
      </c>
      <c r="H65" s="5">
        <v>1</v>
      </c>
      <c r="I65" s="3">
        <v>446.13</v>
      </c>
      <c r="J65" s="3">
        <v>-22.28</v>
      </c>
      <c r="K65" s="1">
        <v>25</v>
      </c>
    </row>
    <row r="66" spans="1:11" x14ac:dyDescent="0.3">
      <c r="A66" s="1" t="s">
        <v>170</v>
      </c>
      <c r="B66" s="1" t="str">
        <f>TEXT(Table1[[#This Row],[Date]],"MMMM")</f>
        <v>October</v>
      </c>
      <c r="C66" s="1" t="s">
        <v>171</v>
      </c>
      <c r="D66" s="1" t="s">
        <v>45</v>
      </c>
      <c r="E66" s="1" t="s">
        <v>59</v>
      </c>
      <c r="F66" s="1" t="s">
        <v>14</v>
      </c>
      <c r="G66" s="1" t="s">
        <v>96</v>
      </c>
      <c r="H66" s="5">
        <v>1</v>
      </c>
      <c r="I66" s="3">
        <v>3062.02</v>
      </c>
      <c r="J66" s="3">
        <v>629.96</v>
      </c>
      <c r="K66" s="1">
        <v>0</v>
      </c>
    </row>
    <row r="67" spans="1:11" x14ac:dyDescent="0.3">
      <c r="A67" s="1" t="s">
        <v>172</v>
      </c>
      <c r="B67" s="1" t="str">
        <f>TEXT(Table1[[#This Row],[Date]],"MMMM")</f>
        <v>December</v>
      </c>
      <c r="C67" s="1" t="s">
        <v>173</v>
      </c>
      <c r="D67" s="1" t="s">
        <v>67</v>
      </c>
      <c r="E67" s="1" t="s">
        <v>25</v>
      </c>
      <c r="F67" s="1" t="s">
        <v>20</v>
      </c>
      <c r="G67" s="1" t="s">
        <v>26</v>
      </c>
      <c r="H67" s="5">
        <v>2</v>
      </c>
      <c r="I67" s="3">
        <v>2949.49</v>
      </c>
      <c r="J67" s="3">
        <v>112.64</v>
      </c>
      <c r="K67" s="1">
        <v>10</v>
      </c>
    </row>
    <row r="68" spans="1:11" x14ac:dyDescent="0.3">
      <c r="A68" s="1" t="s">
        <v>174</v>
      </c>
      <c r="B68" s="1" t="str">
        <f>TEXT(Table1[[#This Row],[Date]],"MMMM")</f>
        <v>December</v>
      </c>
      <c r="C68" s="1" t="s">
        <v>175</v>
      </c>
      <c r="D68" s="1" t="s">
        <v>111</v>
      </c>
      <c r="E68" s="1" t="s">
        <v>80</v>
      </c>
      <c r="F68" s="1" t="s">
        <v>14</v>
      </c>
      <c r="G68" s="1" t="s">
        <v>139</v>
      </c>
      <c r="H68" s="5">
        <v>4</v>
      </c>
      <c r="I68" s="3">
        <v>14462.68</v>
      </c>
      <c r="J68" s="3">
        <v>1831.95</v>
      </c>
      <c r="K68" s="1">
        <v>15</v>
      </c>
    </row>
    <row r="69" spans="1:11" x14ac:dyDescent="0.3">
      <c r="A69" s="1" t="s">
        <v>176</v>
      </c>
      <c r="B69" s="1" t="str">
        <f>TEXT(Table1[[#This Row],[Date]],"MMMM")</f>
        <v>September</v>
      </c>
      <c r="C69" s="1" t="s">
        <v>177</v>
      </c>
      <c r="D69" s="1" t="s">
        <v>45</v>
      </c>
      <c r="E69" s="1" t="s">
        <v>19</v>
      </c>
      <c r="F69" s="1" t="s">
        <v>37</v>
      </c>
      <c r="G69" s="1" t="s">
        <v>55</v>
      </c>
      <c r="H69" s="5">
        <v>1</v>
      </c>
      <c r="I69" s="3">
        <v>2891.4</v>
      </c>
      <c r="J69" s="3">
        <v>366.05</v>
      </c>
      <c r="K69" s="1">
        <v>5</v>
      </c>
    </row>
    <row r="70" spans="1:11" x14ac:dyDescent="0.3">
      <c r="A70" s="1" t="s">
        <v>178</v>
      </c>
      <c r="B70" s="1" t="str">
        <f>TEXT(Table1[[#This Row],[Date]],"MMMM")</f>
        <v>September</v>
      </c>
      <c r="C70" s="1" t="s">
        <v>179</v>
      </c>
      <c r="D70" s="1" t="s">
        <v>71</v>
      </c>
      <c r="E70" s="1" t="s">
        <v>13</v>
      </c>
      <c r="F70" s="1" t="s">
        <v>37</v>
      </c>
      <c r="G70" s="1" t="s">
        <v>46</v>
      </c>
      <c r="H70" s="5">
        <v>7</v>
      </c>
      <c r="I70" s="3">
        <v>18440.55</v>
      </c>
      <c r="J70" s="3">
        <v>-444.03</v>
      </c>
      <c r="K70" s="1">
        <v>25</v>
      </c>
    </row>
    <row r="71" spans="1:11" x14ac:dyDescent="0.3">
      <c r="A71" s="1" t="s">
        <v>180</v>
      </c>
      <c r="B71" s="1" t="str">
        <f>TEXT(Table1[[#This Row],[Date]],"MMMM")</f>
        <v>November</v>
      </c>
      <c r="C71" s="1" t="s">
        <v>181</v>
      </c>
      <c r="D71" s="1" t="s">
        <v>24</v>
      </c>
      <c r="E71" s="1" t="s">
        <v>63</v>
      </c>
      <c r="F71" s="1" t="s">
        <v>20</v>
      </c>
      <c r="G71" s="1" t="s">
        <v>114</v>
      </c>
      <c r="H71" s="5">
        <v>8</v>
      </c>
      <c r="I71" s="3">
        <v>1981.98</v>
      </c>
      <c r="J71" s="3">
        <v>113.24</v>
      </c>
      <c r="K71" s="1">
        <v>25</v>
      </c>
    </row>
    <row r="72" spans="1:11" x14ac:dyDescent="0.3">
      <c r="A72" s="1" t="s">
        <v>182</v>
      </c>
      <c r="B72" s="1" t="str">
        <f>TEXT(Table1[[#This Row],[Date]],"MMMM")</f>
        <v>October</v>
      </c>
      <c r="C72" s="1" t="s">
        <v>183</v>
      </c>
      <c r="D72" s="1" t="s">
        <v>67</v>
      </c>
      <c r="E72" s="1" t="s">
        <v>49</v>
      </c>
      <c r="F72" s="1" t="s">
        <v>37</v>
      </c>
      <c r="G72" s="1" t="s">
        <v>55</v>
      </c>
      <c r="H72" s="5">
        <v>3</v>
      </c>
      <c r="I72" s="3">
        <v>11762.69</v>
      </c>
      <c r="J72" s="3">
        <v>2003.7</v>
      </c>
      <c r="K72" s="1">
        <v>15</v>
      </c>
    </row>
    <row r="73" spans="1:11" x14ac:dyDescent="0.3">
      <c r="A73" s="1" t="s">
        <v>184</v>
      </c>
      <c r="B73" s="1" t="str">
        <f>TEXT(Table1[[#This Row],[Date]],"MMMM")</f>
        <v>December</v>
      </c>
      <c r="C73" s="1" t="s">
        <v>185</v>
      </c>
      <c r="D73" s="1" t="s">
        <v>71</v>
      </c>
      <c r="E73" s="1" t="s">
        <v>80</v>
      </c>
      <c r="F73" s="1" t="s">
        <v>37</v>
      </c>
      <c r="G73" s="1" t="s">
        <v>83</v>
      </c>
      <c r="H73" s="5">
        <v>2</v>
      </c>
      <c r="I73" s="3">
        <v>1504.64</v>
      </c>
      <c r="J73" s="3">
        <v>97.61</v>
      </c>
      <c r="K73" s="1">
        <v>25</v>
      </c>
    </row>
    <row r="74" spans="1:11" x14ac:dyDescent="0.3">
      <c r="A74" s="1" t="s">
        <v>186</v>
      </c>
      <c r="B74" s="1" t="str">
        <f>TEXT(Table1[[#This Row],[Date]],"MMMM")</f>
        <v>March</v>
      </c>
      <c r="C74" s="1" t="s">
        <v>187</v>
      </c>
      <c r="D74" s="1" t="s">
        <v>24</v>
      </c>
      <c r="E74" s="1" t="s">
        <v>59</v>
      </c>
      <c r="F74" s="1" t="s">
        <v>14</v>
      </c>
      <c r="G74" s="1" t="s">
        <v>15</v>
      </c>
      <c r="H74" s="5">
        <v>7</v>
      </c>
      <c r="I74" s="3">
        <v>11160.44</v>
      </c>
      <c r="J74" s="3">
        <v>967.21</v>
      </c>
      <c r="K74" s="1">
        <v>20</v>
      </c>
    </row>
    <row r="75" spans="1:11" x14ac:dyDescent="0.3">
      <c r="A75" s="1" t="s">
        <v>188</v>
      </c>
      <c r="B75" s="1" t="str">
        <f>TEXT(Table1[[#This Row],[Date]],"MMMM")</f>
        <v>February</v>
      </c>
      <c r="C75" s="1" t="s">
        <v>189</v>
      </c>
      <c r="D75" s="1" t="s">
        <v>18</v>
      </c>
      <c r="E75" s="1" t="s">
        <v>13</v>
      </c>
      <c r="F75" s="1" t="s">
        <v>20</v>
      </c>
      <c r="G75" s="1" t="s">
        <v>21</v>
      </c>
      <c r="H75" s="5">
        <v>4</v>
      </c>
      <c r="I75" s="3">
        <v>13463.66</v>
      </c>
      <c r="J75" s="3">
        <v>-349.09</v>
      </c>
      <c r="K75" s="1">
        <v>30</v>
      </c>
    </row>
    <row r="76" spans="1:11" x14ac:dyDescent="0.3">
      <c r="A76" s="1" t="s">
        <v>190</v>
      </c>
      <c r="B76" s="1" t="str">
        <f>TEXT(Table1[[#This Row],[Date]],"MMMM")</f>
        <v>October</v>
      </c>
      <c r="C76" s="1" t="s">
        <v>191</v>
      </c>
      <c r="D76" s="1" t="s">
        <v>18</v>
      </c>
      <c r="E76" s="1" t="s">
        <v>59</v>
      </c>
      <c r="F76" s="1" t="s">
        <v>14</v>
      </c>
      <c r="G76" s="1" t="s">
        <v>139</v>
      </c>
      <c r="H76" s="5">
        <v>8</v>
      </c>
      <c r="I76" s="3">
        <v>17998.560000000001</v>
      </c>
      <c r="J76" s="3">
        <v>3331.66</v>
      </c>
      <c r="K76" s="1">
        <v>5</v>
      </c>
    </row>
    <row r="77" spans="1:11" x14ac:dyDescent="0.3">
      <c r="A77" s="1" t="s">
        <v>192</v>
      </c>
      <c r="B77" s="1" t="str">
        <f>TEXT(Table1[[#This Row],[Date]],"MMMM")</f>
        <v>May</v>
      </c>
      <c r="C77" s="1" t="s">
        <v>193</v>
      </c>
      <c r="D77" s="1" t="s">
        <v>111</v>
      </c>
      <c r="E77" s="1" t="s">
        <v>13</v>
      </c>
      <c r="F77" s="1" t="s">
        <v>14</v>
      </c>
      <c r="G77" s="1" t="s">
        <v>96</v>
      </c>
      <c r="H77" s="5">
        <v>5</v>
      </c>
      <c r="I77" s="3">
        <v>23692.37</v>
      </c>
      <c r="J77" s="3">
        <v>4165.3999999999996</v>
      </c>
      <c r="K77" s="1">
        <v>0</v>
      </c>
    </row>
    <row r="78" spans="1:11" x14ac:dyDescent="0.3">
      <c r="A78" s="1" t="s">
        <v>194</v>
      </c>
      <c r="B78" s="1" t="str">
        <f>TEXT(Table1[[#This Row],[Date]],"MMMM")</f>
        <v>September</v>
      </c>
      <c r="C78" s="1" t="s">
        <v>195</v>
      </c>
      <c r="D78" s="1" t="s">
        <v>95</v>
      </c>
      <c r="E78" s="1" t="s">
        <v>19</v>
      </c>
      <c r="F78" s="1" t="s">
        <v>14</v>
      </c>
      <c r="G78" s="1" t="s">
        <v>15</v>
      </c>
      <c r="H78" s="5">
        <v>6</v>
      </c>
      <c r="I78" s="3">
        <v>3049.59</v>
      </c>
      <c r="J78" s="3">
        <v>718.23</v>
      </c>
      <c r="K78" s="1">
        <v>0</v>
      </c>
    </row>
    <row r="79" spans="1:11" x14ac:dyDescent="0.3">
      <c r="A79" s="1" t="s">
        <v>196</v>
      </c>
      <c r="B79" s="1" t="str">
        <f>TEXT(Table1[[#This Row],[Date]],"MMMM")</f>
        <v>May</v>
      </c>
      <c r="C79" s="1" t="s">
        <v>146</v>
      </c>
      <c r="D79" s="1" t="s">
        <v>29</v>
      </c>
      <c r="E79" s="1" t="s">
        <v>25</v>
      </c>
      <c r="F79" s="1" t="s">
        <v>14</v>
      </c>
      <c r="G79" s="1" t="s">
        <v>139</v>
      </c>
      <c r="H79" s="5">
        <v>1</v>
      </c>
      <c r="I79" s="3">
        <v>3037.78</v>
      </c>
      <c r="J79" s="3">
        <v>127.38</v>
      </c>
      <c r="K79" s="1">
        <v>5</v>
      </c>
    </row>
    <row r="80" spans="1:11" x14ac:dyDescent="0.3">
      <c r="A80" s="1" t="s">
        <v>197</v>
      </c>
      <c r="B80" s="1" t="str">
        <f>TEXT(Table1[[#This Row],[Date]],"MMMM")</f>
        <v>November</v>
      </c>
      <c r="C80" s="1" t="s">
        <v>198</v>
      </c>
      <c r="D80" s="1" t="s">
        <v>95</v>
      </c>
      <c r="E80" s="1" t="s">
        <v>80</v>
      </c>
      <c r="F80" s="1" t="s">
        <v>37</v>
      </c>
      <c r="G80" s="1" t="s">
        <v>64</v>
      </c>
      <c r="H80" s="5">
        <v>4</v>
      </c>
      <c r="I80" s="3">
        <v>11231.02</v>
      </c>
      <c r="J80" s="3">
        <v>-764.95</v>
      </c>
      <c r="K80" s="1">
        <v>30</v>
      </c>
    </row>
    <row r="81" spans="1:11" x14ac:dyDescent="0.3">
      <c r="A81" s="1" t="s">
        <v>199</v>
      </c>
      <c r="B81" s="1" t="str">
        <f>TEXT(Table1[[#This Row],[Date]],"MMMM")</f>
        <v>September</v>
      </c>
      <c r="C81" s="1" t="s">
        <v>200</v>
      </c>
      <c r="D81" s="1" t="s">
        <v>41</v>
      </c>
      <c r="E81" s="1" t="s">
        <v>19</v>
      </c>
      <c r="F81" s="1" t="s">
        <v>37</v>
      </c>
      <c r="G81" s="1" t="s">
        <v>38</v>
      </c>
      <c r="H81" s="5">
        <v>7</v>
      </c>
      <c r="I81" s="3">
        <v>21075.3</v>
      </c>
      <c r="J81" s="3">
        <v>765.2</v>
      </c>
      <c r="K81" s="1">
        <v>5</v>
      </c>
    </row>
    <row r="82" spans="1:11" x14ac:dyDescent="0.3">
      <c r="A82" s="1" t="s">
        <v>201</v>
      </c>
      <c r="B82" s="1" t="str">
        <f>TEXT(Table1[[#This Row],[Date]],"MMMM")</f>
        <v>April</v>
      </c>
      <c r="C82" s="1" t="s">
        <v>202</v>
      </c>
      <c r="D82" s="1" t="s">
        <v>24</v>
      </c>
      <c r="E82" s="1" t="s">
        <v>13</v>
      </c>
      <c r="F82" s="1" t="s">
        <v>37</v>
      </c>
      <c r="G82" s="1" t="s">
        <v>38</v>
      </c>
      <c r="H82" s="5">
        <v>3</v>
      </c>
      <c r="I82" s="3">
        <v>1445.98</v>
      </c>
      <c r="J82" s="3">
        <v>89.16</v>
      </c>
      <c r="K82" s="1">
        <v>15</v>
      </c>
    </row>
    <row r="83" spans="1:11" x14ac:dyDescent="0.3">
      <c r="A83" s="1" t="s">
        <v>203</v>
      </c>
      <c r="B83" s="1" t="str">
        <f>TEXT(Table1[[#This Row],[Date]],"MMMM")</f>
        <v>July</v>
      </c>
      <c r="C83" s="1" t="s">
        <v>204</v>
      </c>
      <c r="D83" s="1" t="s">
        <v>41</v>
      </c>
      <c r="E83" s="1" t="s">
        <v>59</v>
      </c>
      <c r="F83" s="1" t="s">
        <v>14</v>
      </c>
      <c r="G83" s="1" t="s">
        <v>33</v>
      </c>
      <c r="H83" s="5">
        <v>6</v>
      </c>
      <c r="I83" s="3">
        <v>1910.75</v>
      </c>
      <c r="J83" s="3">
        <v>316.82</v>
      </c>
      <c r="K83" s="1">
        <v>15</v>
      </c>
    </row>
    <row r="84" spans="1:11" x14ac:dyDescent="0.3">
      <c r="A84" s="1" t="s">
        <v>205</v>
      </c>
      <c r="B84" s="1" t="str">
        <f>TEXT(Table1[[#This Row],[Date]],"MMMM")</f>
        <v>May</v>
      </c>
      <c r="C84" s="1" t="s">
        <v>165</v>
      </c>
      <c r="D84" s="1" t="s">
        <v>67</v>
      </c>
      <c r="E84" s="1" t="s">
        <v>25</v>
      </c>
      <c r="F84" s="1" t="s">
        <v>14</v>
      </c>
      <c r="G84" s="1" t="s">
        <v>33</v>
      </c>
      <c r="H84" s="5">
        <v>7</v>
      </c>
      <c r="I84" s="3">
        <v>3164.12</v>
      </c>
      <c r="J84" s="3">
        <v>377.69</v>
      </c>
      <c r="K84" s="1">
        <v>15</v>
      </c>
    </row>
    <row r="85" spans="1:11" x14ac:dyDescent="0.3">
      <c r="A85" s="1" t="s">
        <v>206</v>
      </c>
      <c r="B85" s="1" t="str">
        <f>TEXT(Table1[[#This Row],[Date]],"MMMM")</f>
        <v>October</v>
      </c>
      <c r="C85" s="1" t="s">
        <v>207</v>
      </c>
      <c r="D85" s="1" t="s">
        <v>95</v>
      </c>
      <c r="E85" s="1" t="s">
        <v>80</v>
      </c>
      <c r="F85" s="1" t="s">
        <v>37</v>
      </c>
      <c r="G85" s="1" t="s">
        <v>55</v>
      </c>
      <c r="H85" s="5">
        <v>6</v>
      </c>
      <c r="I85" s="3">
        <v>19627.060000000001</v>
      </c>
      <c r="J85" s="3">
        <v>137.29</v>
      </c>
      <c r="K85" s="1">
        <v>20</v>
      </c>
    </row>
    <row r="86" spans="1:11" x14ac:dyDescent="0.3">
      <c r="A86" s="1" t="s">
        <v>208</v>
      </c>
      <c r="B86" s="1" t="str">
        <f>TEXT(Table1[[#This Row],[Date]],"MMMM")</f>
        <v>January</v>
      </c>
      <c r="C86" s="1" t="s">
        <v>209</v>
      </c>
      <c r="D86" s="1" t="s">
        <v>111</v>
      </c>
      <c r="E86" s="1" t="s">
        <v>49</v>
      </c>
      <c r="F86" s="1" t="s">
        <v>37</v>
      </c>
      <c r="G86" s="1" t="s">
        <v>38</v>
      </c>
      <c r="H86" s="5">
        <v>5</v>
      </c>
      <c r="I86" s="3">
        <v>17784.810000000001</v>
      </c>
      <c r="J86" s="3">
        <v>2297.5300000000002</v>
      </c>
      <c r="K86" s="1">
        <v>10</v>
      </c>
    </row>
    <row r="87" spans="1:11" x14ac:dyDescent="0.3">
      <c r="A87" s="1" t="s">
        <v>210</v>
      </c>
      <c r="B87" s="1" t="str">
        <f>TEXT(Table1[[#This Row],[Date]],"MMMM")</f>
        <v>January</v>
      </c>
      <c r="C87" s="1" t="s">
        <v>211</v>
      </c>
      <c r="D87" s="1" t="s">
        <v>24</v>
      </c>
      <c r="E87" s="1" t="s">
        <v>80</v>
      </c>
      <c r="F87" s="1" t="s">
        <v>37</v>
      </c>
      <c r="G87" s="1" t="s">
        <v>38</v>
      </c>
      <c r="H87" s="5">
        <v>6</v>
      </c>
      <c r="I87" s="3">
        <v>24100.58</v>
      </c>
      <c r="J87" s="3">
        <v>2766.71</v>
      </c>
      <c r="K87" s="1">
        <v>15</v>
      </c>
    </row>
    <row r="88" spans="1:11" x14ac:dyDescent="0.3">
      <c r="A88" s="1" t="s">
        <v>212</v>
      </c>
      <c r="B88" s="1" t="str">
        <f>TEXT(Table1[[#This Row],[Date]],"MMMM")</f>
        <v>March</v>
      </c>
      <c r="C88" s="1" t="s">
        <v>213</v>
      </c>
      <c r="D88" s="1" t="s">
        <v>91</v>
      </c>
      <c r="E88" s="1" t="s">
        <v>30</v>
      </c>
      <c r="F88" s="1" t="s">
        <v>20</v>
      </c>
      <c r="G88" s="1" t="s">
        <v>114</v>
      </c>
      <c r="H88" s="5">
        <v>2</v>
      </c>
      <c r="I88" s="3">
        <v>7236.66</v>
      </c>
      <c r="J88" s="3">
        <v>1245.68</v>
      </c>
      <c r="K88" s="1">
        <v>5</v>
      </c>
    </row>
    <row r="89" spans="1:11" x14ac:dyDescent="0.3">
      <c r="A89" s="1" t="s">
        <v>214</v>
      </c>
      <c r="B89" s="1" t="str">
        <f>TEXT(Table1[[#This Row],[Date]],"MMMM")</f>
        <v>April</v>
      </c>
      <c r="C89" s="1" t="s">
        <v>215</v>
      </c>
      <c r="D89" s="1" t="s">
        <v>36</v>
      </c>
      <c r="E89" s="1" t="s">
        <v>49</v>
      </c>
      <c r="F89" s="1" t="s">
        <v>37</v>
      </c>
      <c r="G89" s="1" t="s">
        <v>55</v>
      </c>
      <c r="H89" s="5">
        <v>2</v>
      </c>
      <c r="I89" s="3">
        <v>1496.62</v>
      </c>
      <c r="J89" s="3">
        <v>87.53</v>
      </c>
      <c r="K89" s="1">
        <v>30</v>
      </c>
    </row>
    <row r="90" spans="1:11" x14ac:dyDescent="0.3">
      <c r="A90" s="1" t="s">
        <v>216</v>
      </c>
      <c r="B90" s="1" t="str">
        <f>TEXT(Table1[[#This Row],[Date]],"MMMM")</f>
        <v>July</v>
      </c>
      <c r="C90" s="1" t="s">
        <v>217</v>
      </c>
      <c r="D90" s="1" t="s">
        <v>41</v>
      </c>
      <c r="E90" s="1" t="s">
        <v>25</v>
      </c>
      <c r="F90" s="1" t="s">
        <v>37</v>
      </c>
      <c r="G90" s="1" t="s">
        <v>46</v>
      </c>
      <c r="H90" s="5">
        <v>1</v>
      </c>
      <c r="I90" s="3">
        <v>3177.64</v>
      </c>
      <c r="J90" s="3">
        <v>278.02999999999997</v>
      </c>
      <c r="K90" s="1">
        <v>30</v>
      </c>
    </row>
    <row r="91" spans="1:11" x14ac:dyDescent="0.3">
      <c r="A91" s="1" t="s">
        <v>218</v>
      </c>
      <c r="B91" s="1" t="str">
        <f>TEXT(Table1[[#This Row],[Date]],"MMMM")</f>
        <v>March</v>
      </c>
      <c r="C91" s="1" t="s">
        <v>219</v>
      </c>
      <c r="D91" s="1" t="s">
        <v>58</v>
      </c>
      <c r="E91" s="1" t="s">
        <v>59</v>
      </c>
      <c r="F91" s="1" t="s">
        <v>14</v>
      </c>
      <c r="G91" s="1" t="s">
        <v>15</v>
      </c>
      <c r="H91" s="5">
        <v>7</v>
      </c>
      <c r="I91" s="3">
        <v>1596.97</v>
      </c>
      <c r="J91" s="3">
        <v>356.51</v>
      </c>
      <c r="K91" s="1">
        <v>0</v>
      </c>
    </row>
    <row r="92" spans="1:11" x14ac:dyDescent="0.3">
      <c r="A92" s="1" t="s">
        <v>220</v>
      </c>
      <c r="B92" s="1" t="str">
        <f>TEXT(Table1[[#This Row],[Date]],"MMMM")</f>
        <v>April</v>
      </c>
      <c r="C92" s="1" t="s">
        <v>221</v>
      </c>
      <c r="D92" s="1" t="s">
        <v>29</v>
      </c>
      <c r="E92" s="1" t="s">
        <v>63</v>
      </c>
      <c r="F92" s="1" t="s">
        <v>37</v>
      </c>
      <c r="G92" s="1" t="s">
        <v>38</v>
      </c>
      <c r="H92" s="5">
        <v>5</v>
      </c>
      <c r="I92" s="3">
        <v>9922.57</v>
      </c>
      <c r="J92" s="3">
        <v>969.34</v>
      </c>
      <c r="K92" s="1">
        <v>25</v>
      </c>
    </row>
    <row r="93" spans="1:11" x14ac:dyDescent="0.3">
      <c r="A93" s="1" t="s">
        <v>222</v>
      </c>
      <c r="B93" s="1" t="str">
        <f>TEXT(Table1[[#This Row],[Date]],"MMMM")</f>
        <v>February</v>
      </c>
      <c r="C93" s="1" t="s">
        <v>223</v>
      </c>
      <c r="D93" s="1" t="s">
        <v>29</v>
      </c>
      <c r="E93" s="1" t="s">
        <v>30</v>
      </c>
      <c r="F93" s="1" t="s">
        <v>14</v>
      </c>
      <c r="G93" s="1" t="s">
        <v>139</v>
      </c>
      <c r="H93" s="5">
        <v>6</v>
      </c>
      <c r="I93" s="3">
        <v>20383.330000000002</v>
      </c>
      <c r="J93" s="3">
        <v>2599.2399999999998</v>
      </c>
      <c r="K93" s="1">
        <v>5</v>
      </c>
    </row>
    <row r="94" spans="1:11" x14ac:dyDescent="0.3">
      <c r="A94" s="1" t="s">
        <v>224</v>
      </c>
      <c r="B94" s="1" t="str">
        <f>TEXT(Table1[[#This Row],[Date]],"MMMM")</f>
        <v>February</v>
      </c>
      <c r="C94" s="1" t="s">
        <v>225</v>
      </c>
      <c r="D94" s="1" t="s">
        <v>91</v>
      </c>
      <c r="E94" s="1" t="s">
        <v>25</v>
      </c>
      <c r="F94" s="1" t="s">
        <v>20</v>
      </c>
      <c r="G94" s="1" t="s">
        <v>114</v>
      </c>
      <c r="H94" s="5">
        <v>8</v>
      </c>
      <c r="I94" s="3">
        <v>18382.7</v>
      </c>
      <c r="J94" s="3">
        <v>1343.99</v>
      </c>
      <c r="K94" s="1">
        <v>10</v>
      </c>
    </row>
    <row r="95" spans="1:11" x14ac:dyDescent="0.3">
      <c r="A95" s="1" t="s">
        <v>226</v>
      </c>
      <c r="B95" s="1" t="str">
        <f>TEXT(Table1[[#This Row],[Date]],"MMMM")</f>
        <v>April</v>
      </c>
      <c r="C95" s="1" t="s">
        <v>227</v>
      </c>
      <c r="D95" s="1" t="s">
        <v>71</v>
      </c>
      <c r="E95" s="1" t="s">
        <v>13</v>
      </c>
      <c r="F95" s="1" t="s">
        <v>14</v>
      </c>
      <c r="G95" s="1" t="s">
        <v>77</v>
      </c>
      <c r="H95" s="5">
        <v>5</v>
      </c>
      <c r="I95" s="3">
        <v>13172.8</v>
      </c>
      <c r="J95" s="3">
        <v>-447.12</v>
      </c>
      <c r="K95" s="1">
        <v>20</v>
      </c>
    </row>
    <row r="96" spans="1:11" x14ac:dyDescent="0.3">
      <c r="A96" s="1" t="s">
        <v>228</v>
      </c>
      <c r="B96" s="1" t="str">
        <f>TEXT(Table1[[#This Row],[Date]],"MMMM")</f>
        <v>October</v>
      </c>
      <c r="C96" s="1" t="s">
        <v>229</v>
      </c>
      <c r="D96" s="1" t="s">
        <v>12</v>
      </c>
      <c r="E96" s="1" t="s">
        <v>63</v>
      </c>
      <c r="F96" s="1" t="s">
        <v>37</v>
      </c>
      <c r="G96" s="1" t="s">
        <v>38</v>
      </c>
      <c r="H96" s="5">
        <v>7</v>
      </c>
      <c r="I96" s="3">
        <v>21683.59</v>
      </c>
      <c r="J96" s="3">
        <v>1539.21</v>
      </c>
      <c r="K96" s="1">
        <v>15</v>
      </c>
    </row>
    <row r="97" spans="1:11" x14ac:dyDescent="0.3">
      <c r="A97" s="1" t="s">
        <v>230</v>
      </c>
      <c r="B97" s="1" t="str">
        <f>TEXT(Table1[[#This Row],[Date]],"MMMM")</f>
        <v>February</v>
      </c>
      <c r="C97" s="1" t="s">
        <v>231</v>
      </c>
      <c r="D97" s="1" t="s">
        <v>111</v>
      </c>
      <c r="E97" s="1" t="s">
        <v>19</v>
      </c>
      <c r="F97" s="1" t="s">
        <v>20</v>
      </c>
      <c r="G97" s="1" t="s">
        <v>42</v>
      </c>
      <c r="H97" s="5">
        <v>5</v>
      </c>
      <c r="I97" s="3">
        <v>1199.6099999999999</v>
      </c>
      <c r="J97" s="3">
        <v>5.54</v>
      </c>
      <c r="K97" s="1">
        <v>15</v>
      </c>
    </row>
    <row r="98" spans="1:11" x14ac:dyDescent="0.3">
      <c r="A98" s="1" t="s">
        <v>232</v>
      </c>
      <c r="B98" s="1" t="str">
        <f>TEXT(Table1[[#This Row],[Date]],"MMMM")</f>
        <v>October</v>
      </c>
      <c r="C98" s="1" t="s">
        <v>191</v>
      </c>
      <c r="D98" s="1" t="s">
        <v>88</v>
      </c>
      <c r="E98" s="1" t="s">
        <v>19</v>
      </c>
      <c r="F98" s="1" t="s">
        <v>20</v>
      </c>
      <c r="G98" s="1" t="s">
        <v>68</v>
      </c>
      <c r="H98" s="5">
        <v>6</v>
      </c>
      <c r="I98" s="3">
        <v>11838.82</v>
      </c>
      <c r="J98" s="3">
        <v>252.47</v>
      </c>
      <c r="K98" s="1">
        <v>25</v>
      </c>
    </row>
    <row r="99" spans="1:11" x14ac:dyDescent="0.3">
      <c r="A99" s="1" t="s">
        <v>233</v>
      </c>
      <c r="B99" s="1" t="str">
        <f>TEXT(Table1[[#This Row],[Date]],"MMMM")</f>
        <v>January</v>
      </c>
      <c r="C99" s="1" t="s">
        <v>234</v>
      </c>
      <c r="D99" s="1" t="s">
        <v>143</v>
      </c>
      <c r="E99" s="1" t="s">
        <v>13</v>
      </c>
      <c r="F99" s="1" t="s">
        <v>20</v>
      </c>
      <c r="G99" s="1" t="s">
        <v>26</v>
      </c>
      <c r="H99" s="5">
        <v>4</v>
      </c>
      <c r="I99" s="3">
        <v>14767.42</v>
      </c>
      <c r="J99" s="3">
        <v>1670.42</v>
      </c>
      <c r="K99" s="1">
        <v>20</v>
      </c>
    </row>
    <row r="100" spans="1:11" x14ac:dyDescent="0.3">
      <c r="A100" s="1" t="s">
        <v>235</v>
      </c>
      <c r="B100" s="1" t="str">
        <f>TEXT(Table1[[#This Row],[Date]],"MMMM")</f>
        <v>July</v>
      </c>
      <c r="C100" s="1" t="s">
        <v>236</v>
      </c>
      <c r="D100" s="1" t="s">
        <v>67</v>
      </c>
      <c r="E100" s="1" t="s">
        <v>13</v>
      </c>
      <c r="F100" s="1" t="s">
        <v>20</v>
      </c>
      <c r="G100" s="1" t="s">
        <v>68</v>
      </c>
      <c r="H100" s="5">
        <v>7</v>
      </c>
      <c r="I100" s="3">
        <v>14012.3</v>
      </c>
      <c r="J100" s="3">
        <v>-650.84</v>
      </c>
      <c r="K100" s="1">
        <v>30</v>
      </c>
    </row>
    <row r="101" spans="1:11" x14ac:dyDescent="0.3">
      <c r="A101" s="1" t="s">
        <v>237</v>
      </c>
      <c r="B101" s="1" t="str">
        <f>TEXT(Table1[[#This Row],[Date]],"MMMM")</f>
        <v>May</v>
      </c>
      <c r="C101" s="1" t="s">
        <v>238</v>
      </c>
      <c r="D101" s="1" t="s">
        <v>52</v>
      </c>
      <c r="E101" s="1" t="s">
        <v>30</v>
      </c>
      <c r="F101" s="1" t="s">
        <v>14</v>
      </c>
      <c r="G101" s="1" t="s">
        <v>15</v>
      </c>
      <c r="H101" s="5">
        <v>8</v>
      </c>
      <c r="I101" s="3">
        <v>8032.76</v>
      </c>
      <c r="J101" s="3">
        <v>611.5</v>
      </c>
      <c r="K101" s="1">
        <v>0</v>
      </c>
    </row>
    <row r="102" spans="1:11" x14ac:dyDescent="0.3">
      <c r="A102" s="1" t="s">
        <v>239</v>
      </c>
      <c r="B102" s="1" t="str">
        <f>TEXT(Table1[[#This Row],[Date]],"MMMM")</f>
        <v>November</v>
      </c>
      <c r="C102" s="1" t="s">
        <v>240</v>
      </c>
      <c r="D102" s="1" t="s">
        <v>111</v>
      </c>
      <c r="E102" s="1" t="s">
        <v>59</v>
      </c>
      <c r="F102" s="1" t="s">
        <v>14</v>
      </c>
      <c r="G102" s="1" t="s">
        <v>139</v>
      </c>
      <c r="H102" s="5">
        <v>1</v>
      </c>
      <c r="I102" s="3">
        <v>3884.5</v>
      </c>
      <c r="J102" s="3">
        <v>-156.97999999999999</v>
      </c>
      <c r="K102" s="1">
        <v>20</v>
      </c>
    </row>
    <row r="103" spans="1:11" x14ac:dyDescent="0.3">
      <c r="A103" s="1" t="s">
        <v>241</v>
      </c>
      <c r="B103" s="1" t="str">
        <f>TEXT(Table1[[#This Row],[Date]],"MMMM")</f>
        <v>September</v>
      </c>
      <c r="C103" s="1" t="s">
        <v>87</v>
      </c>
      <c r="D103" s="1" t="s">
        <v>29</v>
      </c>
      <c r="E103" s="1" t="s">
        <v>63</v>
      </c>
      <c r="F103" s="1" t="s">
        <v>14</v>
      </c>
      <c r="G103" s="1" t="s">
        <v>139</v>
      </c>
      <c r="H103" s="5">
        <v>4</v>
      </c>
      <c r="I103" s="3">
        <v>11235.52</v>
      </c>
      <c r="J103" s="3">
        <v>2457</v>
      </c>
      <c r="K103" s="1">
        <v>5</v>
      </c>
    </row>
    <row r="104" spans="1:11" x14ac:dyDescent="0.3">
      <c r="A104" s="1" t="s">
        <v>242</v>
      </c>
      <c r="B104" s="1" t="str">
        <f>TEXT(Table1[[#This Row],[Date]],"MMMM")</f>
        <v>October</v>
      </c>
      <c r="C104" s="1" t="s">
        <v>243</v>
      </c>
      <c r="D104" s="1" t="s">
        <v>71</v>
      </c>
      <c r="E104" s="1" t="s">
        <v>63</v>
      </c>
      <c r="F104" s="1" t="s">
        <v>37</v>
      </c>
      <c r="G104" s="1" t="s">
        <v>64</v>
      </c>
      <c r="H104" s="5">
        <v>5</v>
      </c>
      <c r="I104" s="3">
        <v>18345.189999999999</v>
      </c>
      <c r="J104" s="3">
        <v>1716.11</v>
      </c>
      <c r="K104" s="1">
        <v>25</v>
      </c>
    </row>
    <row r="105" spans="1:11" x14ac:dyDescent="0.3">
      <c r="A105" s="1" t="s">
        <v>244</v>
      </c>
      <c r="B105" s="1" t="str">
        <f>TEXT(Table1[[#This Row],[Date]],"MMMM")</f>
        <v>January</v>
      </c>
      <c r="C105" s="1" t="s">
        <v>245</v>
      </c>
      <c r="D105" s="1" t="s">
        <v>41</v>
      </c>
      <c r="E105" s="1" t="s">
        <v>19</v>
      </c>
      <c r="F105" s="1" t="s">
        <v>14</v>
      </c>
      <c r="G105" s="1" t="s">
        <v>77</v>
      </c>
      <c r="H105" s="5">
        <v>8</v>
      </c>
      <c r="I105" s="3">
        <v>9159.07</v>
      </c>
      <c r="J105" s="3">
        <v>1515.2</v>
      </c>
      <c r="K105" s="1">
        <v>10</v>
      </c>
    </row>
    <row r="106" spans="1:11" x14ac:dyDescent="0.3">
      <c r="A106" s="1" t="s">
        <v>246</v>
      </c>
      <c r="B106" s="1" t="str">
        <f>TEXT(Table1[[#This Row],[Date]],"MMMM")</f>
        <v>July</v>
      </c>
      <c r="C106" s="1" t="s">
        <v>247</v>
      </c>
      <c r="D106" s="1" t="s">
        <v>29</v>
      </c>
      <c r="E106" s="1" t="s">
        <v>13</v>
      </c>
      <c r="F106" s="1" t="s">
        <v>20</v>
      </c>
      <c r="G106" s="1" t="s">
        <v>26</v>
      </c>
      <c r="H106" s="5">
        <v>1</v>
      </c>
      <c r="I106" s="3">
        <v>3114.16</v>
      </c>
      <c r="J106" s="3">
        <v>506</v>
      </c>
      <c r="K106" s="1">
        <v>10</v>
      </c>
    </row>
    <row r="107" spans="1:11" x14ac:dyDescent="0.3">
      <c r="A107" s="1" t="s">
        <v>248</v>
      </c>
      <c r="B107" s="1" t="str">
        <f>TEXT(Table1[[#This Row],[Date]],"MMMM")</f>
        <v>July</v>
      </c>
      <c r="C107" s="1" t="s">
        <v>249</v>
      </c>
      <c r="D107" s="1" t="s">
        <v>45</v>
      </c>
      <c r="E107" s="1" t="s">
        <v>25</v>
      </c>
      <c r="F107" s="1" t="s">
        <v>20</v>
      </c>
      <c r="G107" s="1" t="s">
        <v>42</v>
      </c>
      <c r="H107" s="5">
        <v>2</v>
      </c>
      <c r="I107" s="3">
        <v>4105.1400000000003</v>
      </c>
      <c r="J107" s="3">
        <v>474</v>
      </c>
      <c r="K107" s="1">
        <v>20</v>
      </c>
    </row>
    <row r="108" spans="1:11" x14ac:dyDescent="0.3">
      <c r="A108" s="1" t="s">
        <v>250</v>
      </c>
      <c r="B108" s="1" t="str">
        <f>TEXT(Table1[[#This Row],[Date]],"MMMM")</f>
        <v>March</v>
      </c>
      <c r="C108" s="1" t="s">
        <v>110</v>
      </c>
      <c r="D108" s="1" t="s">
        <v>58</v>
      </c>
      <c r="E108" s="1" t="s">
        <v>63</v>
      </c>
      <c r="F108" s="1" t="s">
        <v>14</v>
      </c>
      <c r="G108" s="1" t="s">
        <v>77</v>
      </c>
      <c r="H108" s="5">
        <v>8</v>
      </c>
      <c r="I108" s="3">
        <v>32898.36</v>
      </c>
      <c r="J108" s="3">
        <v>521.36</v>
      </c>
      <c r="K108" s="1">
        <v>10</v>
      </c>
    </row>
    <row r="109" spans="1:11" x14ac:dyDescent="0.3">
      <c r="A109" s="1" t="s">
        <v>251</v>
      </c>
      <c r="B109" s="1" t="str">
        <f>TEXT(Table1[[#This Row],[Date]],"MMMM")</f>
        <v>May</v>
      </c>
      <c r="C109" s="1" t="s">
        <v>252</v>
      </c>
      <c r="D109" s="1" t="s">
        <v>111</v>
      </c>
      <c r="E109" s="1" t="s">
        <v>59</v>
      </c>
      <c r="F109" s="1" t="s">
        <v>37</v>
      </c>
      <c r="G109" s="1" t="s">
        <v>64</v>
      </c>
      <c r="H109" s="5">
        <v>6</v>
      </c>
      <c r="I109" s="3">
        <v>17628.09</v>
      </c>
      <c r="J109" s="3">
        <v>1845.12</v>
      </c>
      <c r="K109" s="1">
        <v>25</v>
      </c>
    </row>
    <row r="110" spans="1:11" x14ac:dyDescent="0.3">
      <c r="A110" s="1" t="s">
        <v>253</v>
      </c>
      <c r="B110" s="1" t="str">
        <f>TEXT(Table1[[#This Row],[Date]],"MMMM")</f>
        <v>July</v>
      </c>
      <c r="C110" s="1" t="s">
        <v>254</v>
      </c>
      <c r="D110" s="1" t="s">
        <v>24</v>
      </c>
      <c r="E110" s="1" t="s">
        <v>30</v>
      </c>
      <c r="F110" s="1" t="s">
        <v>20</v>
      </c>
      <c r="G110" s="1" t="s">
        <v>21</v>
      </c>
      <c r="H110" s="5">
        <v>7</v>
      </c>
      <c r="I110" s="3">
        <v>3997.42</v>
      </c>
      <c r="J110" s="3">
        <v>779.74</v>
      </c>
      <c r="K110" s="1">
        <v>10</v>
      </c>
    </row>
    <row r="111" spans="1:11" x14ac:dyDescent="0.3">
      <c r="A111" s="1" t="s">
        <v>255</v>
      </c>
      <c r="B111" s="1" t="str">
        <f>TEXT(Table1[[#This Row],[Date]],"MMMM")</f>
        <v>July</v>
      </c>
      <c r="C111" s="1" t="s">
        <v>249</v>
      </c>
      <c r="D111" s="1" t="s">
        <v>143</v>
      </c>
      <c r="E111" s="1" t="s">
        <v>63</v>
      </c>
      <c r="F111" s="1" t="s">
        <v>20</v>
      </c>
      <c r="G111" s="1" t="s">
        <v>21</v>
      </c>
      <c r="H111" s="5">
        <v>1</v>
      </c>
      <c r="I111" s="3">
        <v>1216.76</v>
      </c>
      <c r="J111" s="3">
        <v>138.03</v>
      </c>
      <c r="K111" s="1">
        <v>25</v>
      </c>
    </row>
    <row r="112" spans="1:11" x14ac:dyDescent="0.3">
      <c r="A112" s="1" t="s">
        <v>256</v>
      </c>
      <c r="B112" s="1" t="str">
        <f>TEXT(Table1[[#This Row],[Date]],"MMMM")</f>
        <v>February</v>
      </c>
      <c r="C112" s="1" t="s">
        <v>257</v>
      </c>
      <c r="D112" s="1" t="s">
        <v>36</v>
      </c>
      <c r="E112" s="1" t="s">
        <v>25</v>
      </c>
      <c r="F112" s="1" t="s">
        <v>14</v>
      </c>
      <c r="G112" s="1" t="s">
        <v>139</v>
      </c>
      <c r="H112" s="5">
        <v>8</v>
      </c>
      <c r="I112" s="3">
        <v>4022.2</v>
      </c>
      <c r="J112" s="3">
        <v>-37.380000000000003</v>
      </c>
      <c r="K112" s="1">
        <v>30</v>
      </c>
    </row>
    <row r="113" spans="1:11" x14ac:dyDescent="0.3">
      <c r="A113" s="1" t="s">
        <v>258</v>
      </c>
      <c r="B113" s="1" t="str">
        <f>TEXT(Table1[[#This Row],[Date]],"MMMM")</f>
        <v>February</v>
      </c>
      <c r="C113" s="1" t="s">
        <v>259</v>
      </c>
      <c r="D113" s="1" t="s">
        <v>143</v>
      </c>
      <c r="E113" s="1" t="s">
        <v>59</v>
      </c>
      <c r="F113" s="1" t="s">
        <v>37</v>
      </c>
      <c r="G113" s="1" t="s">
        <v>46</v>
      </c>
      <c r="H113" s="5">
        <v>3</v>
      </c>
      <c r="I113" s="3">
        <v>4829.01</v>
      </c>
      <c r="J113" s="3">
        <v>-74.63</v>
      </c>
      <c r="K113" s="1">
        <v>30</v>
      </c>
    </row>
    <row r="114" spans="1:11" x14ac:dyDescent="0.3">
      <c r="A114" s="1" t="s">
        <v>260</v>
      </c>
      <c r="B114" s="1" t="str">
        <f>TEXT(Table1[[#This Row],[Date]],"MMMM")</f>
        <v>September</v>
      </c>
      <c r="C114" s="1" t="s">
        <v>261</v>
      </c>
      <c r="D114" s="1" t="s">
        <v>111</v>
      </c>
      <c r="E114" s="1" t="s">
        <v>25</v>
      </c>
      <c r="F114" s="1" t="s">
        <v>20</v>
      </c>
      <c r="G114" s="1" t="s">
        <v>21</v>
      </c>
      <c r="H114" s="5">
        <v>3</v>
      </c>
      <c r="I114" s="3">
        <v>4376.8599999999997</v>
      </c>
      <c r="J114" s="3">
        <v>89.66</v>
      </c>
      <c r="K114" s="1">
        <v>25</v>
      </c>
    </row>
    <row r="115" spans="1:11" x14ac:dyDescent="0.3">
      <c r="A115" s="1" t="s">
        <v>262</v>
      </c>
      <c r="B115" s="1" t="str">
        <f>TEXT(Table1[[#This Row],[Date]],"MMMM")</f>
        <v>March</v>
      </c>
      <c r="C115" s="1" t="s">
        <v>93</v>
      </c>
      <c r="D115" s="1" t="s">
        <v>29</v>
      </c>
      <c r="E115" s="1" t="s">
        <v>59</v>
      </c>
      <c r="F115" s="1" t="s">
        <v>37</v>
      </c>
      <c r="G115" s="1" t="s">
        <v>64</v>
      </c>
      <c r="H115" s="5">
        <v>3</v>
      </c>
      <c r="I115" s="3">
        <v>1448.95</v>
      </c>
      <c r="J115" s="3">
        <v>-37.869999999999997</v>
      </c>
      <c r="K115" s="1">
        <v>20</v>
      </c>
    </row>
    <row r="116" spans="1:11" x14ac:dyDescent="0.3">
      <c r="A116" s="1" t="s">
        <v>263</v>
      </c>
      <c r="B116" s="1" t="str">
        <f>TEXT(Table1[[#This Row],[Date]],"MMMM")</f>
        <v>June</v>
      </c>
      <c r="C116" s="1" t="s">
        <v>264</v>
      </c>
      <c r="D116" s="1" t="s">
        <v>143</v>
      </c>
      <c r="E116" s="1" t="s">
        <v>80</v>
      </c>
      <c r="F116" s="1" t="s">
        <v>14</v>
      </c>
      <c r="G116" s="1" t="s">
        <v>96</v>
      </c>
      <c r="H116" s="5">
        <v>7</v>
      </c>
      <c r="I116" s="3">
        <v>3331.84</v>
      </c>
      <c r="J116" s="3">
        <v>74.540000000000006</v>
      </c>
      <c r="K116" s="1">
        <v>30</v>
      </c>
    </row>
    <row r="117" spans="1:11" x14ac:dyDescent="0.3">
      <c r="A117" s="1" t="s">
        <v>265</v>
      </c>
      <c r="B117" s="1" t="str">
        <f>TEXT(Table1[[#This Row],[Date]],"MMMM")</f>
        <v>June</v>
      </c>
      <c r="C117" s="1" t="s">
        <v>266</v>
      </c>
      <c r="D117" s="1" t="s">
        <v>52</v>
      </c>
      <c r="E117" s="1" t="s">
        <v>19</v>
      </c>
      <c r="F117" s="1" t="s">
        <v>14</v>
      </c>
      <c r="G117" s="1" t="s">
        <v>139</v>
      </c>
      <c r="H117" s="5">
        <v>6</v>
      </c>
      <c r="I117" s="3">
        <v>14524.91</v>
      </c>
      <c r="J117" s="3">
        <v>2279.33</v>
      </c>
      <c r="K117" s="1">
        <v>10</v>
      </c>
    </row>
    <row r="118" spans="1:11" x14ac:dyDescent="0.3">
      <c r="A118" s="1" t="s">
        <v>267</v>
      </c>
      <c r="B118" s="1" t="str">
        <f>TEXT(Table1[[#This Row],[Date]],"MMMM")</f>
        <v>July</v>
      </c>
      <c r="C118" s="1" t="s">
        <v>268</v>
      </c>
      <c r="D118" s="1" t="s">
        <v>45</v>
      </c>
      <c r="E118" s="1" t="s">
        <v>13</v>
      </c>
      <c r="F118" s="1" t="s">
        <v>37</v>
      </c>
      <c r="G118" s="1" t="s">
        <v>55</v>
      </c>
      <c r="H118" s="5">
        <v>6</v>
      </c>
      <c r="I118" s="3">
        <v>21177.77</v>
      </c>
      <c r="J118" s="3">
        <v>-72.63</v>
      </c>
      <c r="K118" s="1">
        <v>25</v>
      </c>
    </row>
    <row r="119" spans="1:11" x14ac:dyDescent="0.3">
      <c r="A119" s="1" t="s">
        <v>269</v>
      </c>
      <c r="B119" s="1" t="str">
        <f>TEXT(Table1[[#This Row],[Date]],"MMMM")</f>
        <v>May</v>
      </c>
      <c r="C119" s="1" t="s">
        <v>270</v>
      </c>
      <c r="D119" s="1" t="s">
        <v>88</v>
      </c>
      <c r="E119" s="1" t="s">
        <v>59</v>
      </c>
      <c r="F119" s="1" t="s">
        <v>20</v>
      </c>
      <c r="G119" s="1" t="s">
        <v>42</v>
      </c>
      <c r="H119" s="5">
        <v>5</v>
      </c>
      <c r="I119" s="3">
        <v>835.95</v>
      </c>
      <c r="J119" s="3">
        <v>109.64</v>
      </c>
      <c r="K119" s="1">
        <v>20</v>
      </c>
    </row>
    <row r="120" spans="1:11" x14ac:dyDescent="0.3">
      <c r="A120" s="1" t="s">
        <v>271</v>
      </c>
      <c r="B120" s="1" t="str">
        <f>TEXT(Table1[[#This Row],[Date]],"MMMM")</f>
        <v>September</v>
      </c>
      <c r="C120" s="1" t="s">
        <v>272</v>
      </c>
      <c r="D120" s="1" t="s">
        <v>143</v>
      </c>
      <c r="E120" s="1" t="s">
        <v>49</v>
      </c>
      <c r="F120" s="1" t="s">
        <v>37</v>
      </c>
      <c r="G120" s="1" t="s">
        <v>55</v>
      </c>
      <c r="H120" s="5">
        <v>4</v>
      </c>
      <c r="I120" s="3">
        <v>13204.48</v>
      </c>
      <c r="J120" s="3">
        <v>750.36</v>
      </c>
      <c r="K120" s="1">
        <v>30</v>
      </c>
    </row>
    <row r="121" spans="1:11" x14ac:dyDescent="0.3">
      <c r="A121" s="1" t="s">
        <v>273</v>
      </c>
      <c r="B121" s="1" t="str">
        <f>TEXT(Table1[[#This Row],[Date]],"MMMM")</f>
        <v>October</v>
      </c>
      <c r="C121" s="1" t="s">
        <v>274</v>
      </c>
      <c r="D121" s="1" t="s">
        <v>18</v>
      </c>
      <c r="E121" s="1" t="s">
        <v>80</v>
      </c>
      <c r="F121" s="1" t="s">
        <v>20</v>
      </c>
      <c r="G121" s="1" t="s">
        <v>114</v>
      </c>
      <c r="H121" s="5">
        <v>5</v>
      </c>
      <c r="I121" s="3">
        <v>13120.1</v>
      </c>
      <c r="J121" s="3">
        <v>983.54</v>
      </c>
      <c r="K121" s="1">
        <v>30</v>
      </c>
    </row>
    <row r="122" spans="1:11" x14ac:dyDescent="0.3">
      <c r="A122" s="1" t="s">
        <v>275</v>
      </c>
      <c r="B122" s="1" t="str">
        <f>TEXT(Table1[[#This Row],[Date]],"MMMM")</f>
        <v>May</v>
      </c>
      <c r="C122" s="1" t="s">
        <v>276</v>
      </c>
      <c r="D122" s="1" t="s">
        <v>58</v>
      </c>
      <c r="E122" s="1" t="s">
        <v>30</v>
      </c>
      <c r="F122" s="1" t="s">
        <v>20</v>
      </c>
      <c r="G122" s="1" t="s">
        <v>21</v>
      </c>
      <c r="H122" s="5">
        <v>5</v>
      </c>
      <c r="I122" s="3">
        <v>11306.31</v>
      </c>
      <c r="J122" s="3">
        <v>1596.32</v>
      </c>
      <c r="K122" s="1">
        <v>10</v>
      </c>
    </row>
    <row r="123" spans="1:11" x14ac:dyDescent="0.3">
      <c r="A123" s="1" t="s">
        <v>277</v>
      </c>
      <c r="B123" s="1" t="str">
        <f>TEXT(Table1[[#This Row],[Date]],"MMMM")</f>
        <v>November</v>
      </c>
      <c r="C123" s="1" t="s">
        <v>278</v>
      </c>
      <c r="D123" s="1" t="s">
        <v>111</v>
      </c>
      <c r="E123" s="1" t="s">
        <v>59</v>
      </c>
      <c r="F123" s="1" t="s">
        <v>14</v>
      </c>
      <c r="G123" s="1" t="s">
        <v>77</v>
      </c>
      <c r="H123" s="5">
        <v>3</v>
      </c>
      <c r="I123" s="3">
        <v>4390.2299999999996</v>
      </c>
      <c r="J123" s="3">
        <v>260.3</v>
      </c>
      <c r="K123" s="1">
        <v>30</v>
      </c>
    </row>
    <row r="124" spans="1:11" x14ac:dyDescent="0.3">
      <c r="A124" s="1" t="s">
        <v>279</v>
      </c>
      <c r="B124" s="1" t="str">
        <f>TEXT(Table1[[#This Row],[Date]],"MMMM")</f>
        <v>June</v>
      </c>
      <c r="C124" s="1" t="s">
        <v>280</v>
      </c>
      <c r="D124" s="1" t="s">
        <v>36</v>
      </c>
      <c r="E124" s="1" t="s">
        <v>63</v>
      </c>
      <c r="F124" s="1" t="s">
        <v>20</v>
      </c>
      <c r="G124" s="1" t="s">
        <v>42</v>
      </c>
      <c r="H124" s="5">
        <v>7</v>
      </c>
      <c r="I124" s="3">
        <v>4608.29</v>
      </c>
      <c r="J124" s="3">
        <v>766.26</v>
      </c>
      <c r="K124" s="1">
        <v>15</v>
      </c>
    </row>
    <row r="125" spans="1:11" x14ac:dyDescent="0.3">
      <c r="A125" s="1" t="s">
        <v>281</v>
      </c>
      <c r="B125" s="1" t="str">
        <f>TEXT(Table1[[#This Row],[Date]],"MMMM")</f>
        <v>February</v>
      </c>
      <c r="C125" s="1" t="s">
        <v>32</v>
      </c>
      <c r="D125" s="1" t="s">
        <v>71</v>
      </c>
      <c r="E125" s="1" t="s">
        <v>63</v>
      </c>
      <c r="F125" s="1" t="s">
        <v>37</v>
      </c>
      <c r="G125" s="1" t="s">
        <v>83</v>
      </c>
      <c r="H125" s="5">
        <v>6</v>
      </c>
      <c r="I125" s="3">
        <v>13651.75</v>
      </c>
      <c r="J125" s="3">
        <v>2062.92</v>
      </c>
      <c r="K125" s="1">
        <v>5</v>
      </c>
    </row>
    <row r="126" spans="1:11" x14ac:dyDescent="0.3">
      <c r="A126" s="1" t="s">
        <v>282</v>
      </c>
      <c r="B126" s="1" t="str">
        <f>TEXT(Table1[[#This Row],[Date]],"MMMM")</f>
        <v>October</v>
      </c>
      <c r="C126" s="1" t="s">
        <v>127</v>
      </c>
      <c r="D126" s="1" t="s">
        <v>36</v>
      </c>
      <c r="E126" s="1" t="s">
        <v>13</v>
      </c>
      <c r="F126" s="1" t="s">
        <v>14</v>
      </c>
      <c r="G126" s="1" t="s">
        <v>77</v>
      </c>
      <c r="H126" s="5">
        <v>5</v>
      </c>
      <c r="I126" s="3">
        <v>4031.99</v>
      </c>
      <c r="J126" s="3">
        <v>-23.12</v>
      </c>
      <c r="K126" s="1">
        <v>30</v>
      </c>
    </row>
    <row r="127" spans="1:11" x14ac:dyDescent="0.3">
      <c r="A127" s="1" t="s">
        <v>283</v>
      </c>
      <c r="B127" s="1" t="str">
        <f>TEXT(Table1[[#This Row],[Date]],"MMMM")</f>
        <v>June</v>
      </c>
      <c r="C127" s="1" t="s">
        <v>284</v>
      </c>
      <c r="D127" s="1" t="s">
        <v>58</v>
      </c>
      <c r="E127" s="1" t="s">
        <v>25</v>
      </c>
      <c r="F127" s="1" t="s">
        <v>14</v>
      </c>
      <c r="G127" s="1" t="s">
        <v>139</v>
      </c>
      <c r="H127" s="5">
        <v>4</v>
      </c>
      <c r="I127" s="3">
        <v>14857.4</v>
      </c>
      <c r="J127" s="3">
        <v>3033.92</v>
      </c>
      <c r="K127" s="1">
        <v>5</v>
      </c>
    </row>
    <row r="128" spans="1:11" x14ac:dyDescent="0.3">
      <c r="A128" s="1" t="s">
        <v>285</v>
      </c>
      <c r="B128" s="1" t="str">
        <f>TEXT(Table1[[#This Row],[Date]],"MMMM")</f>
        <v>December</v>
      </c>
      <c r="C128" s="1" t="s">
        <v>286</v>
      </c>
      <c r="D128" s="1" t="s">
        <v>41</v>
      </c>
      <c r="E128" s="1" t="s">
        <v>59</v>
      </c>
      <c r="F128" s="1" t="s">
        <v>14</v>
      </c>
      <c r="G128" s="1" t="s">
        <v>139</v>
      </c>
      <c r="H128" s="5">
        <v>6</v>
      </c>
      <c r="I128" s="3">
        <v>17643.939999999999</v>
      </c>
      <c r="J128" s="3">
        <v>1416.53</v>
      </c>
      <c r="K128" s="1">
        <v>20</v>
      </c>
    </row>
    <row r="129" spans="1:11" x14ac:dyDescent="0.3">
      <c r="A129" s="1" t="s">
        <v>287</v>
      </c>
      <c r="B129" s="1" t="str">
        <f>TEXT(Table1[[#This Row],[Date]],"MMMM")</f>
        <v>June</v>
      </c>
      <c r="C129" s="1" t="s">
        <v>288</v>
      </c>
      <c r="D129" s="1" t="s">
        <v>58</v>
      </c>
      <c r="E129" s="1" t="s">
        <v>49</v>
      </c>
      <c r="F129" s="1" t="s">
        <v>20</v>
      </c>
      <c r="G129" s="1" t="s">
        <v>26</v>
      </c>
      <c r="H129" s="5">
        <v>8</v>
      </c>
      <c r="I129" s="3">
        <v>13868.58</v>
      </c>
      <c r="J129" s="3">
        <v>3053.02</v>
      </c>
      <c r="K129" s="1">
        <v>0</v>
      </c>
    </row>
    <row r="130" spans="1:11" x14ac:dyDescent="0.3">
      <c r="A130" s="1" t="s">
        <v>289</v>
      </c>
      <c r="B130" s="1" t="str">
        <f>TEXT(Table1[[#This Row],[Date]],"MMMM")</f>
        <v>September</v>
      </c>
      <c r="C130" s="1" t="s">
        <v>290</v>
      </c>
      <c r="D130" s="1" t="s">
        <v>91</v>
      </c>
      <c r="E130" s="1" t="s">
        <v>30</v>
      </c>
      <c r="F130" s="1" t="s">
        <v>14</v>
      </c>
      <c r="G130" s="1" t="s">
        <v>15</v>
      </c>
      <c r="H130" s="5">
        <v>1</v>
      </c>
      <c r="I130" s="3">
        <v>656.89</v>
      </c>
      <c r="J130" s="3">
        <v>113.58</v>
      </c>
      <c r="K130" s="1">
        <v>5</v>
      </c>
    </row>
    <row r="131" spans="1:11" x14ac:dyDescent="0.3">
      <c r="A131" s="1" t="s">
        <v>291</v>
      </c>
      <c r="B131" s="1" t="str">
        <f>TEXT(Table1[[#This Row],[Date]],"MMMM")</f>
        <v>November</v>
      </c>
      <c r="C131" s="1" t="s">
        <v>292</v>
      </c>
      <c r="D131" s="1" t="s">
        <v>36</v>
      </c>
      <c r="E131" s="1" t="s">
        <v>49</v>
      </c>
      <c r="F131" s="1" t="s">
        <v>37</v>
      </c>
      <c r="G131" s="1" t="s">
        <v>64</v>
      </c>
      <c r="H131" s="5">
        <v>6</v>
      </c>
      <c r="I131" s="3">
        <v>6410.36</v>
      </c>
      <c r="J131" s="3">
        <v>-106.69</v>
      </c>
      <c r="K131" s="1">
        <v>30</v>
      </c>
    </row>
    <row r="132" spans="1:11" x14ac:dyDescent="0.3">
      <c r="A132" s="1" t="s">
        <v>293</v>
      </c>
      <c r="B132" s="1" t="str">
        <f>TEXT(Table1[[#This Row],[Date]],"MMMM")</f>
        <v>June</v>
      </c>
      <c r="C132" s="1" t="s">
        <v>294</v>
      </c>
      <c r="D132" s="1" t="s">
        <v>58</v>
      </c>
      <c r="E132" s="1" t="s">
        <v>30</v>
      </c>
      <c r="F132" s="1" t="s">
        <v>37</v>
      </c>
      <c r="G132" s="1" t="s">
        <v>38</v>
      </c>
      <c r="H132" s="5">
        <v>6</v>
      </c>
      <c r="I132" s="3">
        <v>13391.78</v>
      </c>
      <c r="J132" s="3">
        <v>829.45</v>
      </c>
      <c r="K132" s="1">
        <v>0</v>
      </c>
    </row>
    <row r="133" spans="1:11" x14ac:dyDescent="0.3">
      <c r="A133" s="1" t="s">
        <v>295</v>
      </c>
      <c r="B133" s="1" t="str">
        <f>TEXT(Table1[[#This Row],[Date]],"MMMM")</f>
        <v>February</v>
      </c>
      <c r="C133" s="1" t="s">
        <v>257</v>
      </c>
      <c r="D133" s="1" t="s">
        <v>71</v>
      </c>
      <c r="E133" s="1" t="s">
        <v>30</v>
      </c>
      <c r="F133" s="1" t="s">
        <v>37</v>
      </c>
      <c r="G133" s="1" t="s">
        <v>64</v>
      </c>
      <c r="H133" s="5">
        <v>2</v>
      </c>
      <c r="I133" s="3">
        <v>8315.42</v>
      </c>
      <c r="J133" s="3">
        <v>1222.46</v>
      </c>
      <c r="K133" s="1">
        <v>15</v>
      </c>
    </row>
    <row r="134" spans="1:11" x14ac:dyDescent="0.3">
      <c r="A134" s="1" t="s">
        <v>296</v>
      </c>
      <c r="B134" s="1" t="str">
        <f>TEXT(Table1[[#This Row],[Date]],"MMMM")</f>
        <v>March</v>
      </c>
      <c r="C134" s="1" t="s">
        <v>110</v>
      </c>
      <c r="D134" s="1" t="s">
        <v>95</v>
      </c>
      <c r="E134" s="1" t="s">
        <v>80</v>
      </c>
      <c r="F134" s="1" t="s">
        <v>37</v>
      </c>
      <c r="G134" s="1" t="s">
        <v>38</v>
      </c>
      <c r="H134" s="5">
        <v>1</v>
      </c>
      <c r="I134" s="3">
        <v>2097.4699999999998</v>
      </c>
      <c r="J134" s="3">
        <v>156.87</v>
      </c>
      <c r="K134" s="1">
        <v>15</v>
      </c>
    </row>
    <row r="135" spans="1:11" x14ac:dyDescent="0.3">
      <c r="A135" s="1" t="s">
        <v>297</v>
      </c>
      <c r="B135" s="1" t="str">
        <f>TEXT(Table1[[#This Row],[Date]],"MMMM")</f>
        <v>December</v>
      </c>
      <c r="C135" s="1" t="s">
        <v>173</v>
      </c>
      <c r="D135" s="1" t="s">
        <v>36</v>
      </c>
      <c r="E135" s="1" t="s">
        <v>80</v>
      </c>
      <c r="F135" s="1" t="s">
        <v>20</v>
      </c>
      <c r="G135" s="1" t="s">
        <v>68</v>
      </c>
      <c r="H135" s="5">
        <v>6</v>
      </c>
      <c r="I135" s="3">
        <v>3897.92</v>
      </c>
      <c r="J135" s="3">
        <v>960.47</v>
      </c>
      <c r="K135" s="1">
        <v>0</v>
      </c>
    </row>
    <row r="136" spans="1:11" x14ac:dyDescent="0.3">
      <c r="A136" s="1" t="s">
        <v>298</v>
      </c>
      <c r="B136" s="1" t="str">
        <f>TEXT(Table1[[#This Row],[Date]],"MMMM")</f>
        <v>October</v>
      </c>
      <c r="C136" s="1" t="s">
        <v>299</v>
      </c>
      <c r="D136" s="1" t="s">
        <v>12</v>
      </c>
      <c r="E136" s="1" t="s">
        <v>59</v>
      </c>
      <c r="F136" s="1" t="s">
        <v>20</v>
      </c>
      <c r="G136" s="1" t="s">
        <v>42</v>
      </c>
      <c r="H136" s="5">
        <v>2</v>
      </c>
      <c r="I136" s="3">
        <v>2443.84</v>
      </c>
      <c r="J136" s="3">
        <v>421.57</v>
      </c>
      <c r="K136" s="1">
        <v>10</v>
      </c>
    </row>
    <row r="137" spans="1:11" x14ac:dyDescent="0.3">
      <c r="A137" s="1" t="s">
        <v>300</v>
      </c>
      <c r="B137" s="1" t="str">
        <f>TEXT(Table1[[#This Row],[Date]],"MMMM")</f>
        <v>December</v>
      </c>
      <c r="C137" s="1" t="s">
        <v>301</v>
      </c>
      <c r="D137" s="1" t="s">
        <v>71</v>
      </c>
      <c r="E137" s="1" t="s">
        <v>63</v>
      </c>
      <c r="F137" s="1" t="s">
        <v>37</v>
      </c>
      <c r="G137" s="1" t="s">
        <v>83</v>
      </c>
      <c r="H137" s="5">
        <v>3</v>
      </c>
      <c r="I137" s="3">
        <v>2771.86</v>
      </c>
      <c r="J137" s="3">
        <v>-168.54</v>
      </c>
      <c r="K137" s="1">
        <v>25</v>
      </c>
    </row>
    <row r="138" spans="1:11" x14ac:dyDescent="0.3">
      <c r="A138" s="1" t="s">
        <v>302</v>
      </c>
      <c r="B138" s="1" t="str">
        <f>TEXT(Table1[[#This Row],[Date]],"MMMM")</f>
        <v>July</v>
      </c>
      <c r="C138" s="1" t="s">
        <v>103</v>
      </c>
      <c r="D138" s="1" t="s">
        <v>36</v>
      </c>
      <c r="E138" s="1" t="s">
        <v>13</v>
      </c>
      <c r="F138" s="1" t="s">
        <v>37</v>
      </c>
      <c r="G138" s="1" t="s">
        <v>38</v>
      </c>
      <c r="H138" s="5">
        <v>7</v>
      </c>
      <c r="I138" s="3">
        <v>26012.66</v>
      </c>
      <c r="J138" s="3">
        <v>1960.14</v>
      </c>
      <c r="K138" s="1">
        <v>10</v>
      </c>
    </row>
    <row r="139" spans="1:11" x14ac:dyDescent="0.3">
      <c r="A139" s="1" t="s">
        <v>303</v>
      </c>
      <c r="B139" s="1" t="str">
        <f>TEXT(Table1[[#This Row],[Date]],"MMMM")</f>
        <v>January</v>
      </c>
      <c r="C139" s="1" t="s">
        <v>304</v>
      </c>
      <c r="D139" s="1" t="s">
        <v>12</v>
      </c>
      <c r="E139" s="1" t="s">
        <v>19</v>
      </c>
      <c r="F139" s="1" t="s">
        <v>20</v>
      </c>
      <c r="G139" s="1" t="s">
        <v>26</v>
      </c>
      <c r="H139" s="5">
        <v>4</v>
      </c>
      <c r="I139" s="3">
        <v>2496.13</v>
      </c>
      <c r="J139" s="3">
        <v>80.819999999999993</v>
      </c>
      <c r="K139" s="1">
        <v>30</v>
      </c>
    </row>
    <row r="140" spans="1:11" x14ac:dyDescent="0.3">
      <c r="A140" s="1" t="s">
        <v>305</v>
      </c>
      <c r="B140" s="1" t="str">
        <f>TEXT(Table1[[#This Row],[Date]],"MMMM")</f>
        <v>June</v>
      </c>
      <c r="C140" s="1" t="s">
        <v>280</v>
      </c>
      <c r="D140" s="1" t="s">
        <v>58</v>
      </c>
      <c r="E140" s="1" t="s">
        <v>25</v>
      </c>
      <c r="F140" s="1" t="s">
        <v>14</v>
      </c>
      <c r="G140" s="1" t="s">
        <v>96</v>
      </c>
      <c r="H140" s="5">
        <v>1</v>
      </c>
      <c r="I140" s="3">
        <v>4429.42</v>
      </c>
      <c r="J140" s="3">
        <v>397.83</v>
      </c>
      <c r="K140" s="1">
        <v>10</v>
      </c>
    </row>
    <row r="141" spans="1:11" x14ac:dyDescent="0.3">
      <c r="A141" s="1" t="s">
        <v>306</v>
      </c>
      <c r="B141" s="1" t="str">
        <f>TEXT(Table1[[#This Row],[Date]],"MMMM")</f>
        <v>March</v>
      </c>
      <c r="C141" s="1" t="s">
        <v>307</v>
      </c>
      <c r="D141" s="1" t="s">
        <v>41</v>
      </c>
      <c r="E141" s="1" t="s">
        <v>59</v>
      </c>
      <c r="F141" s="1" t="s">
        <v>14</v>
      </c>
      <c r="G141" s="1" t="s">
        <v>33</v>
      </c>
      <c r="H141" s="5">
        <v>4</v>
      </c>
      <c r="I141" s="3">
        <v>2272.8000000000002</v>
      </c>
      <c r="J141" s="3">
        <v>378.52</v>
      </c>
      <c r="K141" s="1">
        <v>10</v>
      </c>
    </row>
    <row r="142" spans="1:11" x14ac:dyDescent="0.3">
      <c r="A142" s="1" t="s">
        <v>308</v>
      </c>
      <c r="B142" s="1" t="str">
        <f>TEXT(Table1[[#This Row],[Date]],"MMMM")</f>
        <v>June</v>
      </c>
      <c r="C142" s="1" t="s">
        <v>309</v>
      </c>
      <c r="D142" s="1" t="s">
        <v>58</v>
      </c>
      <c r="E142" s="1" t="s">
        <v>13</v>
      </c>
      <c r="F142" s="1" t="s">
        <v>20</v>
      </c>
      <c r="G142" s="1" t="s">
        <v>26</v>
      </c>
      <c r="H142" s="5">
        <v>3</v>
      </c>
      <c r="I142" s="3">
        <v>854.12</v>
      </c>
      <c r="J142" s="3">
        <v>19.57</v>
      </c>
      <c r="K142" s="1">
        <v>30</v>
      </c>
    </row>
    <row r="143" spans="1:11" x14ac:dyDescent="0.3">
      <c r="A143" s="1" t="s">
        <v>310</v>
      </c>
      <c r="B143" s="1" t="str">
        <f>TEXT(Table1[[#This Row],[Date]],"MMMM")</f>
        <v>November</v>
      </c>
      <c r="C143" s="1" t="s">
        <v>311</v>
      </c>
      <c r="D143" s="1" t="s">
        <v>29</v>
      </c>
      <c r="E143" s="1" t="s">
        <v>30</v>
      </c>
      <c r="F143" s="1" t="s">
        <v>20</v>
      </c>
      <c r="G143" s="1" t="s">
        <v>42</v>
      </c>
      <c r="H143" s="5">
        <v>8</v>
      </c>
      <c r="I143" s="3">
        <v>29595.22</v>
      </c>
      <c r="J143" s="3">
        <v>6352.99</v>
      </c>
      <c r="K143" s="1">
        <v>0</v>
      </c>
    </row>
    <row r="144" spans="1:11" x14ac:dyDescent="0.3">
      <c r="A144" s="1" t="s">
        <v>312</v>
      </c>
      <c r="B144" s="1" t="str">
        <f>TEXT(Table1[[#This Row],[Date]],"MMMM")</f>
        <v>August</v>
      </c>
      <c r="C144" s="1" t="s">
        <v>125</v>
      </c>
      <c r="D144" s="1" t="s">
        <v>18</v>
      </c>
      <c r="E144" s="1" t="s">
        <v>25</v>
      </c>
      <c r="F144" s="1" t="s">
        <v>37</v>
      </c>
      <c r="G144" s="1" t="s">
        <v>46</v>
      </c>
      <c r="H144" s="5">
        <v>7</v>
      </c>
      <c r="I144" s="3">
        <v>6965.83</v>
      </c>
      <c r="J144" s="3">
        <v>-407.09</v>
      </c>
      <c r="K144" s="1">
        <v>30</v>
      </c>
    </row>
    <row r="145" spans="1:11" x14ac:dyDescent="0.3">
      <c r="A145" s="1" t="s">
        <v>313</v>
      </c>
      <c r="B145" s="1" t="str">
        <f>TEXT(Table1[[#This Row],[Date]],"MMMM")</f>
        <v>November</v>
      </c>
      <c r="C145" s="1" t="s">
        <v>314</v>
      </c>
      <c r="D145" s="1" t="s">
        <v>41</v>
      </c>
      <c r="E145" s="1" t="s">
        <v>49</v>
      </c>
      <c r="F145" s="1" t="s">
        <v>20</v>
      </c>
      <c r="G145" s="1" t="s">
        <v>21</v>
      </c>
      <c r="H145" s="5">
        <v>8</v>
      </c>
      <c r="I145" s="3">
        <v>20391.240000000002</v>
      </c>
      <c r="J145" s="3">
        <v>2343.7199999999998</v>
      </c>
      <c r="K145" s="1">
        <v>10</v>
      </c>
    </row>
    <row r="146" spans="1:11" x14ac:dyDescent="0.3">
      <c r="A146" s="1" t="s">
        <v>315</v>
      </c>
      <c r="B146" s="1" t="str">
        <f>TEXT(Table1[[#This Row],[Date]],"MMMM")</f>
        <v>May</v>
      </c>
      <c r="C146" s="1" t="s">
        <v>316</v>
      </c>
      <c r="D146" s="1" t="s">
        <v>18</v>
      </c>
      <c r="E146" s="1" t="s">
        <v>49</v>
      </c>
      <c r="F146" s="1" t="s">
        <v>14</v>
      </c>
      <c r="G146" s="1" t="s">
        <v>96</v>
      </c>
      <c r="H146" s="5">
        <v>8</v>
      </c>
      <c r="I146" s="3">
        <v>12587.74</v>
      </c>
      <c r="J146" s="3">
        <v>701.06</v>
      </c>
      <c r="K146" s="1">
        <v>0</v>
      </c>
    </row>
    <row r="147" spans="1:11" x14ac:dyDescent="0.3">
      <c r="A147" s="1" t="s">
        <v>317</v>
      </c>
      <c r="B147" s="1" t="str">
        <f>TEXT(Table1[[#This Row],[Date]],"MMMM")</f>
        <v>November</v>
      </c>
      <c r="C147" s="1" t="s">
        <v>40</v>
      </c>
      <c r="D147" s="1" t="s">
        <v>18</v>
      </c>
      <c r="E147" s="1" t="s">
        <v>19</v>
      </c>
      <c r="F147" s="1" t="s">
        <v>20</v>
      </c>
      <c r="G147" s="1" t="s">
        <v>21</v>
      </c>
      <c r="H147" s="5">
        <v>1</v>
      </c>
      <c r="I147" s="3">
        <v>1967.27</v>
      </c>
      <c r="J147" s="3">
        <v>340.86</v>
      </c>
      <c r="K147" s="1">
        <v>15</v>
      </c>
    </row>
    <row r="148" spans="1:11" x14ac:dyDescent="0.3">
      <c r="A148" s="1" t="s">
        <v>318</v>
      </c>
      <c r="B148" s="1" t="str">
        <f>TEXT(Table1[[#This Row],[Date]],"MMMM")</f>
        <v>December</v>
      </c>
      <c r="C148" s="1" t="s">
        <v>11</v>
      </c>
      <c r="D148" s="1" t="s">
        <v>45</v>
      </c>
      <c r="E148" s="1" t="s">
        <v>25</v>
      </c>
      <c r="F148" s="1" t="s">
        <v>37</v>
      </c>
      <c r="G148" s="1" t="s">
        <v>83</v>
      </c>
      <c r="H148" s="5">
        <v>2</v>
      </c>
      <c r="I148" s="3">
        <v>4145.34</v>
      </c>
      <c r="J148" s="3">
        <v>905.02</v>
      </c>
      <c r="K148" s="1">
        <v>0</v>
      </c>
    </row>
    <row r="149" spans="1:11" x14ac:dyDescent="0.3">
      <c r="A149" s="1" t="s">
        <v>319</v>
      </c>
      <c r="B149" s="1" t="str">
        <f>TEXT(Table1[[#This Row],[Date]],"MMMM")</f>
        <v>July</v>
      </c>
      <c r="C149" s="1" t="s">
        <v>320</v>
      </c>
      <c r="D149" s="1" t="s">
        <v>36</v>
      </c>
      <c r="E149" s="1" t="s">
        <v>19</v>
      </c>
      <c r="F149" s="1" t="s">
        <v>20</v>
      </c>
      <c r="G149" s="1" t="s">
        <v>68</v>
      </c>
      <c r="H149" s="5">
        <v>3</v>
      </c>
      <c r="I149" s="3">
        <v>2059.4899999999998</v>
      </c>
      <c r="J149" s="3">
        <v>-15.66</v>
      </c>
      <c r="K149" s="1">
        <v>15</v>
      </c>
    </row>
    <row r="150" spans="1:11" x14ac:dyDescent="0.3">
      <c r="A150" s="1" t="s">
        <v>321</v>
      </c>
      <c r="B150" s="1" t="str">
        <f>TEXT(Table1[[#This Row],[Date]],"MMMM")</f>
        <v>August</v>
      </c>
      <c r="C150" s="1" t="s">
        <v>322</v>
      </c>
      <c r="D150" s="1" t="s">
        <v>143</v>
      </c>
      <c r="E150" s="1" t="s">
        <v>13</v>
      </c>
      <c r="F150" s="1" t="s">
        <v>14</v>
      </c>
      <c r="G150" s="1" t="s">
        <v>96</v>
      </c>
      <c r="H150" s="5">
        <v>1</v>
      </c>
      <c r="I150" s="3">
        <v>2637.21</v>
      </c>
      <c r="J150" s="3">
        <v>223.54</v>
      </c>
      <c r="K150" s="1">
        <v>30</v>
      </c>
    </row>
    <row r="151" spans="1:11" x14ac:dyDescent="0.3">
      <c r="A151" s="1" t="s">
        <v>323</v>
      </c>
      <c r="B151" s="1" t="str">
        <f>TEXT(Table1[[#This Row],[Date]],"MMMM")</f>
        <v>November</v>
      </c>
      <c r="C151" s="1" t="s">
        <v>324</v>
      </c>
      <c r="D151" s="1" t="s">
        <v>18</v>
      </c>
      <c r="E151" s="1" t="s">
        <v>25</v>
      </c>
      <c r="F151" s="1" t="s">
        <v>14</v>
      </c>
      <c r="G151" s="1" t="s">
        <v>139</v>
      </c>
      <c r="H151" s="5">
        <v>5</v>
      </c>
      <c r="I151" s="3">
        <v>18338.8</v>
      </c>
      <c r="J151" s="3">
        <v>1719.96</v>
      </c>
      <c r="K151" s="1">
        <v>5</v>
      </c>
    </row>
    <row r="152" spans="1:11" x14ac:dyDescent="0.3">
      <c r="A152" s="1" t="s">
        <v>325</v>
      </c>
      <c r="B152" s="1" t="str">
        <f>TEXT(Table1[[#This Row],[Date]],"MMMM")</f>
        <v>August</v>
      </c>
      <c r="C152" s="1" t="s">
        <v>326</v>
      </c>
      <c r="D152" s="1" t="s">
        <v>24</v>
      </c>
      <c r="E152" s="1" t="s">
        <v>59</v>
      </c>
      <c r="F152" s="1" t="s">
        <v>37</v>
      </c>
      <c r="G152" s="1" t="s">
        <v>38</v>
      </c>
      <c r="H152" s="5">
        <v>2</v>
      </c>
      <c r="I152" s="3">
        <v>8974.83</v>
      </c>
      <c r="J152" s="3">
        <v>581.89</v>
      </c>
      <c r="K152" s="1">
        <v>10</v>
      </c>
    </row>
    <row r="153" spans="1:11" x14ac:dyDescent="0.3">
      <c r="A153" s="1" t="s">
        <v>327</v>
      </c>
      <c r="B153" s="1" t="str">
        <f>TEXT(Table1[[#This Row],[Date]],"MMMM")</f>
        <v>May</v>
      </c>
      <c r="C153" s="1" t="s">
        <v>328</v>
      </c>
      <c r="D153" s="1" t="s">
        <v>36</v>
      </c>
      <c r="E153" s="1" t="s">
        <v>49</v>
      </c>
      <c r="F153" s="1" t="s">
        <v>20</v>
      </c>
      <c r="G153" s="1" t="s">
        <v>68</v>
      </c>
      <c r="H153" s="5">
        <v>4</v>
      </c>
      <c r="I153" s="3">
        <v>12233.57</v>
      </c>
      <c r="J153" s="3">
        <v>286.73</v>
      </c>
      <c r="K153" s="1">
        <v>25</v>
      </c>
    </row>
    <row r="154" spans="1:11" x14ac:dyDescent="0.3">
      <c r="A154" s="1" t="s">
        <v>329</v>
      </c>
      <c r="B154" s="1" t="str">
        <f>TEXT(Table1[[#This Row],[Date]],"MMMM")</f>
        <v>January</v>
      </c>
      <c r="C154" s="1" t="s">
        <v>330</v>
      </c>
      <c r="D154" s="1" t="s">
        <v>88</v>
      </c>
      <c r="E154" s="1" t="s">
        <v>59</v>
      </c>
      <c r="F154" s="1" t="s">
        <v>14</v>
      </c>
      <c r="G154" s="1" t="s">
        <v>139</v>
      </c>
      <c r="H154" s="5">
        <v>5</v>
      </c>
      <c r="I154" s="3">
        <v>17581.27</v>
      </c>
      <c r="J154" s="3">
        <v>1650.93</v>
      </c>
      <c r="K154" s="1">
        <v>10</v>
      </c>
    </row>
    <row r="155" spans="1:11" x14ac:dyDescent="0.3">
      <c r="A155" s="1" t="s">
        <v>331</v>
      </c>
      <c r="B155" s="1" t="str">
        <f>TEXT(Table1[[#This Row],[Date]],"MMMM")</f>
        <v>August</v>
      </c>
      <c r="C155" s="1" t="s">
        <v>332</v>
      </c>
      <c r="D155" s="1" t="s">
        <v>18</v>
      </c>
      <c r="E155" s="1" t="s">
        <v>80</v>
      </c>
      <c r="F155" s="1" t="s">
        <v>37</v>
      </c>
      <c r="G155" s="1" t="s">
        <v>38</v>
      </c>
      <c r="H155" s="5">
        <v>1</v>
      </c>
      <c r="I155" s="3">
        <v>1152</v>
      </c>
      <c r="J155" s="3">
        <v>66.41</v>
      </c>
      <c r="K155" s="1">
        <v>30</v>
      </c>
    </row>
    <row r="156" spans="1:11" x14ac:dyDescent="0.3">
      <c r="A156" s="1" t="s">
        <v>333</v>
      </c>
      <c r="B156" s="1" t="str">
        <f>TEXT(Table1[[#This Row],[Date]],"MMMM")</f>
        <v>November</v>
      </c>
      <c r="C156" s="1" t="s">
        <v>334</v>
      </c>
      <c r="D156" s="1" t="s">
        <v>41</v>
      </c>
      <c r="E156" s="1" t="s">
        <v>59</v>
      </c>
      <c r="F156" s="1" t="s">
        <v>20</v>
      </c>
      <c r="G156" s="1" t="s">
        <v>114</v>
      </c>
      <c r="H156" s="5">
        <v>2</v>
      </c>
      <c r="I156" s="3">
        <v>1994.02</v>
      </c>
      <c r="J156" s="3">
        <v>267.14</v>
      </c>
      <c r="K156" s="1">
        <v>10</v>
      </c>
    </row>
    <row r="157" spans="1:11" x14ac:dyDescent="0.3">
      <c r="A157" s="1" t="s">
        <v>335</v>
      </c>
      <c r="B157" s="1" t="str">
        <f>TEXT(Table1[[#This Row],[Date]],"MMMM")</f>
        <v>November</v>
      </c>
      <c r="C157" s="1" t="s">
        <v>336</v>
      </c>
      <c r="D157" s="1" t="s">
        <v>71</v>
      </c>
      <c r="E157" s="1" t="s">
        <v>13</v>
      </c>
      <c r="F157" s="1" t="s">
        <v>20</v>
      </c>
      <c r="G157" s="1" t="s">
        <v>114</v>
      </c>
      <c r="H157" s="5">
        <v>6</v>
      </c>
      <c r="I157" s="3">
        <v>3673.84</v>
      </c>
      <c r="J157" s="3">
        <v>-23.5</v>
      </c>
      <c r="K157" s="1">
        <v>30</v>
      </c>
    </row>
    <row r="158" spans="1:11" x14ac:dyDescent="0.3">
      <c r="A158" s="1" t="s">
        <v>337</v>
      </c>
      <c r="B158" s="1" t="str">
        <f>TEXT(Table1[[#This Row],[Date]],"MMMM")</f>
        <v>June</v>
      </c>
      <c r="C158" s="1" t="s">
        <v>338</v>
      </c>
      <c r="D158" s="1" t="s">
        <v>58</v>
      </c>
      <c r="E158" s="1" t="s">
        <v>49</v>
      </c>
      <c r="F158" s="1" t="s">
        <v>37</v>
      </c>
      <c r="G158" s="1" t="s">
        <v>64</v>
      </c>
      <c r="H158" s="5">
        <v>8</v>
      </c>
      <c r="I158" s="3">
        <v>34947.93</v>
      </c>
      <c r="J158" s="3">
        <v>3238.75</v>
      </c>
      <c r="K158" s="1">
        <v>5</v>
      </c>
    </row>
    <row r="159" spans="1:11" x14ac:dyDescent="0.3">
      <c r="A159" s="1" t="s">
        <v>339</v>
      </c>
      <c r="B159" s="1" t="str">
        <f>TEXT(Table1[[#This Row],[Date]],"MMMM")</f>
        <v>July</v>
      </c>
      <c r="C159" s="1" t="s">
        <v>340</v>
      </c>
      <c r="D159" s="1" t="s">
        <v>58</v>
      </c>
      <c r="E159" s="1" t="s">
        <v>80</v>
      </c>
      <c r="F159" s="1" t="s">
        <v>14</v>
      </c>
      <c r="G159" s="1" t="s">
        <v>33</v>
      </c>
      <c r="H159" s="5">
        <v>6</v>
      </c>
      <c r="I159" s="3">
        <v>26280.82</v>
      </c>
      <c r="J159" s="3">
        <v>5577.55</v>
      </c>
      <c r="K159" s="1">
        <v>0</v>
      </c>
    </row>
    <row r="160" spans="1:11" x14ac:dyDescent="0.3">
      <c r="A160" s="1" t="s">
        <v>341</v>
      </c>
      <c r="B160" s="1" t="str">
        <f>TEXT(Table1[[#This Row],[Date]],"MMMM")</f>
        <v>August</v>
      </c>
      <c r="C160" s="1" t="s">
        <v>332</v>
      </c>
      <c r="D160" s="1" t="s">
        <v>71</v>
      </c>
      <c r="E160" s="1" t="s">
        <v>19</v>
      </c>
      <c r="F160" s="1" t="s">
        <v>37</v>
      </c>
      <c r="G160" s="1" t="s">
        <v>38</v>
      </c>
      <c r="H160" s="5">
        <v>2</v>
      </c>
      <c r="I160" s="3">
        <v>7000.89</v>
      </c>
      <c r="J160" s="3">
        <v>1092.31</v>
      </c>
      <c r="K160" s="1">
        <v>10</v>
      </c>
    </row>
    <row r="161" spans="1:11" x14ac:dyDescent="0.3">
      <c r="A161" s="1" t="s">
        <v>342</v>
      </c>
      <c r="B161" s="1" t="str">
        <f>TEXT(Table1[[#This Row],[Date]],"MMMM")</f>
        <v>February</v>
      </c>
      <c r="C161" s="1" t="s">
        <v>259</v>
      </c>
      <c r="D161" s="1" t="s">
        <v>29</v>
      </c>
      <c r="E161" s="1" t="s">
        <v>49</v>
      </c>
      <c r="F161" s="1" t="s">
        <v>20</v>
      </c>
      <c r="G161" s="1" t="s">
        <v>114</v>
      </c>
      <c r="H161" s="5">
        <v>6</v>
      </c>
      <c r="I161" s="3">
        <v>6202.56</v>
      </c>
      <c r="J161" s="3">
        <v>159.13</v>
      </c>
      <c r="K161" s="1">
        <v>25</v>
      </c>
    </row>
    <row r="162" spans="1:11" x14ac:dyDescent="0.3">
      <c r="A162" s="1" t="s">
        <v>343</v>
      </c>
      <c r="B162" s="1" t="str">
        <f>TEXT(Table1[[#This Row],[Date]],"MMMM")</f>
        <v>July</v>
      </c>
      <c r="C162" s="1" t="s">
        <v>344</v>
      </c>
      <c r="D162" s="1" t="s">
        <v>41</v>
      </c>
      <c r="E162" s="1" t="s">
        <v>13</v>
      </c>
      <c r="F162" s="1" t="s">
        <v>37</v>
      </c>
      <c r="G162" s="1" t="s">
        <v>38</v>
      </c>
      <c r="H162" s="5">
        <v>5</v>
      </c>
      <c r="I162" s="3">
        <v>19612.240000000002</v>
      </c>
      <c r="J162" s="3">
        <v>1039.68</v>
      </c>
      <c r="K162" s="1">
        <v>20</v>
      </c>
    </row>
    <row r="163" spans="1:11" x14ac:dyDescent="0.3">
      <c r="A163" s="1" t="s">
        <v>345</v>
      </c>
      <c r="B163" s="1" t="str">
        <f>TEXT(Table1[[#This Row],[Date]],"MMMM")</f>
        <v>December</v>
      </c>
      <c r="C163" s="1" t="s">
        <v>175</v>
      </c>
      <c r="D163" s="1" t="s">
        <v>91</v>
      </c>
      <c r="E163" s="1" t="s">
        <v>13</v>
      </c>
      <c r="F163" s="1" t="s">
        <v>20</v>
      </c>
      <c r="G163" s="1" t="s">
        <v>114</v>
      </c>
      <c r="H163" s="5">
        <v>5</v>
      </c>
      <c r="I163" s="3">
        <v>18196.080000000002</v>
      </c>
      <c r="J163" s="3">
        <v>1558.58</v>
      </c>
      <c r="K163" s="1">
        <v>20</v>
      </c>
    </row>
    <row r="164" spans="1:11" x14ac:dyDescent="0.3">
      <c r="A164" s="1" t="s">
        <v>346</v>
      </c>
      <c r="B164" s="1" t="str">
        <f>TEXT(Table1[[#This Row],[Date]],"MMMM")</f>
        <v>November</v>
      </c>
      <c r="C164" s="1" t="s">
        <v>99</v>
      </c>
      <c r="D164" s="1" t="s">
        <v>111</v>
      </c>
      <c r="E164" s="1" t="s">
        <v>25</v>
      </c>
      <c r="F164" s="1" t="s">
        <v>14</v>
      </c>
      <c r="G164" s="1" t="s">
        <v>139</v>
      </c>
      <c r="H164" s="5">
        <v>3</v>
      </c>
      <c r="I164" s="3">
        <v>6016.35</v>
      </c>
      <c r="J164" s="3">
        <v>893.68</v>
      </c>
      <c r="K164" s="1">
        <v>5</v>
      </c>
    </row>
    <row r="165" spans="1:11" x14ac:dyDescent="0.3">
      <c r="A165" s="1" t="s">
        <v>347</v>
      </c>
      <c r="B165" s="1" t="str">
        <f>TEXT(Table1[[#This Row],[Date]],"MMMM")</f>
        <v>February</v>
      </c>
      <c r="C165" s="1" t="s">
        <v>348</v>
      </c>
      <c r="D165" s="1" t="s">
        <v>18</v>
      </c>
      <c r="E165" s="1" t="s">
        <v>80</v>
      </c>
      <c r="F165" s="1" t="s">
        <v>20</v>
      </c>
      <c r="G165" s="1" t="s">
        <v>26</v>
      </c>
      <c r="H165" s="5">
        <v>8</v>
      </c>
      <c r="I165" s="3">
        <v>27638.3</v>
      </c>
      <c r="J165" s="3">
        <v>1438.31</v>
      </c>
      <c r="K165" s="1">
        <v>30</v>
      </c>
    </row>
    <row r="166" spans="1:11" x14ac:dyDescent="0.3">
      <c r="A166" s="1" t="s">
        <v>349</v>
      </c>
      <c r="B166" s="1" t="str">
        <f>TEXT(Table1[[#This Row],[Date]],"MMMM")</f>
        <v>May</v>
      </c>
      <c r="C166" s="1" t="s">
        <v>350</v>
      </c>
      <c r="D166" s="1" t="s">
        <v>52</v>
      </c>
      <c r="E166" s="1" t="s">
        <v>30</v>
      </c>
      <c r="F166" s="1" t="s">
        <v>37</v>
      </c>
      <c r="G166" s="1" t="s">
        <v>38</v>
      </c>
      <c r="H166" s="5">
        <v>5</v>
      </c>
      <c r="I166" s="3">
        <v>5500.49</v>
      </c>
      <c r="J166" s="3">
        <v>1249.55</v>
      </c>
      <c r="K166" s="1">
        <v>0</v>
      </c>
    </row>
    <row r="167" spans="1:11" x14ac:dyDescent="0.3">
      <c r="A167" s="1" t="s">
        <v>351</v>
      </c>
      <c r="B167" s="1" t="str">
        <f>TEXT(Table1[[#This Row],[Date]],"MMMM")</f>
        <v>June</v>
      </c>
      <c r="C167" s="1" t="s">
        <v>264</v>
      </c>
      <c r="D167" s="1" t="s">
        <v>29</v>
      </c>
      <c r="E167" s="1" t="s">
        <v>25</v>
      </c>
      <c r="F167" s="1" t="s">
        <v>37</v>
      </c>
      <c r="G167" s="1" t="s">
        <v>64</v>
      </c>
      <c r="H167" s="5">
        <v>8</v>
      </c>
      <c r="I167" s="3">
        <v>1597.01</v>
      </c>
      <c r="J167" s="3">
        <v>23.96</v>
      </c>
      <c r="K167" s="1">
        <v>15</v>
      </c>
    </row>
    <row r="168" spans="1:11" x14ac:dyDescent="0.3">
      <c r="A168" s="1" t="s">
        <v>352</v>
      </c>
      <c r="B168" s="1" t="str">
        <f>TEXT(Table1[[#This Row],[Date]],"MMMM")</f>
        <v>December</v>
      </c>
      <c r="C168" s="1" t="s">
        <v>353</v>
      </c>
      <c r="D168" s="1" t="s">
        <v>88</v>
      </c>
      <c r="E168" s="1" t="s">
        <v>63</v>
      </c>
      <c r="F168" s="1" t="s">
        <v>20</v>
      </c>
      <c r="G168" s="1" t="s">
        <v>21</v>
      </c>
      <c r="H168" s="5">
        <v>6</v>
      </c>
      <c r="I168" s="3">
        <v>1561.39</v>
      </c>
      <c r="J168" s="3">
        <v>173.65</v>
      </c>
      <c r="K168" s="1">
        <v>5</v>
      </c>
    </row>
    <row r="169" spans="1:11" x14ac:dyDescent="0.3">
      <c r="A169" s="1" t="s">
        <v>354</v>
      </c>
      <c r="B169" s="1" t="str">
        <f>TEXT(Table1[[#This Row],[Date]],"MMMM")</f>
        <v>January</v>
      </c>
      <c r="C169" s="1" t="s">
        <v>355</v>
      </c>
      <c r="D169" s="1" t="s">
        <v>95</v>
      </c>
      <c r="E169" s="1" t="s">
        <v>63</v>
      </c>
      <c r="F169" s="1" t="s">
        <v>20</v>
      </c>
      <c r="G169" s="1" t="s">
        <v>114</v>
      </c>
      <c r="H169" s="5">
        <v>6</v>
      </c>
      <c r="I169" s="3">
        <v>9711.77</v>
      </c>
      <c r="J169" s="3">
        <v>206.46</v>
      </c>
      <c r="K169" s="1">
        <v>20</v>
      </c>
    </row>
    <row r="170" spans="1:11" x14ac:dyDescent="0.3">
      <c r="A170" s="1" t="s">
        <v>356</v>
      </c>
      <c r="B170" s="1" t="str">
        <f>TEXT(Table1[[#This Row],[Date]],"MMMM")</f>
        <v>April</v>
      </c>
      <c r="C170" s="1" t="s">
        <v>357</v>
      </c>
      <c r="D170" s="1" t="s">
        <v>91</v>
      </c>
      <c r="E170" s="1" t="s">
        <v>59</v>
      </c>
      <c r="F170" s="1" t="s">
        <v>14</v>
      </c>
      <c r="G170" s="1" t="s">
        <v>77</v>
      </c>
      <c r="H170" s="5">
        <v>2</v>
      </c>
      <c r="I170" s="3">
        <v>4668.49</v>
      </c>
      <c r="J170" s="3">
        <v>1154.6500000000001</v>
      </c>
      <c r="K170" s="1">
        <v>0</v>
      </c>
    </row>
    <row r="171" spans="1:11" x14ac:dyDescent="0.3">
      <c r="A171" s="1" t="s">
        <v>358</v>
      </c>
      <c r="B171" s="1" t="str">
        <f>TEXT(Table1[[#This Row],[Date]],"MMMM")</f>
        <v>October</v>
      </c>
      <c r="C171" s="1" t="s">
        <v>359</v>
      </c>
      <c r="D171" s="1" t="s">
        <v>143</v>
      </c>
      <c r="E171" s="1" t="s">
        <v>49</v>
      </c>
      <c r="F171" s="1" t="s">
        <v>14</v>
      </c>
      <c r="G171" s="1" t="s">
        <v>33</v>
      </c>
      <c r="H171" s="5">
        <v>3</v>
      </c>
      <c r="I171" s="3">
        <v>3643.49</v>
      </c>
      <c r="J171" s="3">
        <v>233.26</v>
      </c>
      <c r="K171" s="1">
        <v>20</v>
      </c>
    </row>
    <row r="172" spans="1:11" x14ac:dyDescent="0.3">
      <c r="A172" s="1" t="s">
        <v>360</v>
      </c>
      <c r="B172" s="1" t="str">
        <f>TEXT(Table1[[#This Row],[Date]],"MMMM")</f>
        <v>March</v>
      </c>
      <c r="C172" s="1" t="s">
        <v>361</v>
      </c>
      <c r="D172" s="1" t="s">
        <v>41</v>
      </c>
      <c r="E172" s="1" t="s">
        <v>13</v>
      </c>
      <c r="F172" s="1" t="s">
        <v>37</v>
      </c>
      <c r="G172" s="1" t="s">
        <v>55</v>
      </c>
      <c r="H172" s="5">
        <v>3</v>
      </c>
      <c r="I172" s="3">
        <v>1813.39</v>
      </c>
      <c r="J172" s="3">
        <v>322.98</v>
      </c>
      <c r="K172" s="1">
        <v>0</v>
      </c>
    </row>
    <row r="173" spans="1:11" x14ac:dyDescent="0.3">
      <c r="A173" s="1" t="s">
        <v>362</v>
      </c>
      <c r="B173" s="1" t="str">
        <f>TEXT(Table1[[#This Row],[Date]],"MMMM")</f>
        <v>October</v>
      </c>
      <c r="C173" s="1" t="s">
        <v>57</v>
      </c>
      <c r="D173" s="1" t="s">
        <v>143</v>
      </c>
      <c r="E173" s="1" t="s">
        <v>25</v>
      </c>
      <c r="F173" s="1" t="s">
        <v>37</v>
      </c>
      <c r="G173" s="1" t="s">
        <v>83</v>
      </c>
      <c r="H173" s="5">
        <v>8</v>
      </c>
      <c r="I173" s="3">
        <v>17283.150000000001</v>
      </c>
      <c r="J173" s="3">
        <v>1575.96</v>
      </c>
      <c r="K173" s="1">
        <v>15</v>
      </c>
    </row>
    <row r="174" spans="1:11" x14ac:dyDescent="0.3">
      <c r="A174" s="1" t="s">
        <v>363</v>
      </c>
      <c r="B174" s="1" t="str">
        <f>TEXT(Table1[[#This Row],[Date]],"MMMM")</f>
        <v>February</v>
      </c>
      <c r="C174" s="1" t="s">
        <v>116</v>
      </c>
      <c r="D174" s="1" t="s">
        <v>58</v>
      </c>
      <c r="E174" s="1" t="s">
        <v>25</v>
      </c>
      <c r="F174" s="1" t="s">
        <v>37</v>
      </c>
      <c r="G174" s="1" t="s">
        <v>46</v>
      </c>
      <c r="H174" s="5">
        <v>7</v>
      </c>
      <c r="I174" s="3">
        <v>13617.91</v>
      </c>
      <c r="J174" s="3">
        <v>1788.26</v>
      </c>
      <c r="K174" s="1">
        <v>10</v>
      </c>
    </row>
    <row r="175" spans="1:11" x14ac:dyDescent="0.3">
      <c r="A175" s="1" t="s">
        <v>364</v>
      </c>
      <c r="B175" s="1" t="str">
        <f>TEXT(Table1[[#This Row],[Date]],"MMMM")</f>
        <v>August</v>
      </c>
      <c r="C175" s="1" t="s">
        <v>365</v>
      </c>
      <c r="D175" s="1" t="s">
        <v>45</v>
      </c>
      <c r="E175" s="1" t="s">
        <v>80</v>
      </c>
      <c r="F175" s="1" t="s">
        <v>37</v>
      </c>
      <c r="G175" s="1" t="s">
        <v>46</v>
      </c>
      <c r="H175" s="5">
        <v>6</v>
      </c>
      <c r="I175" s="3">
        <v>1724.95</v>
      </c>
      <c r="J175" s="3">
        <v>119.45</v>
      </c>
      <c r="K175" s="1">
        <v>10</v>
      </c>
    </row>
    <row r="176" spans="1:11" x14ac:dyDescent="0.3">
      <c r="A176" s="1" t="s">
        <v>366</v>
      </c>
      <c r="B176" s="1" t="str">
        <f>TEXT(Table1[[#This Row],[Date]],"MMMM")</f>
        <v>September</v>
      </c>
      <c r="C176" s="1" t="s">
        <v>367</v>
      </c>
      <c r="D176" s="1" t="s">
        <v>88</v>
      </c>
      <c r="E176" s="1" t="s">
        <v>19</v>
      </c>
      <c r="F176" s="1" t="s">
        <v>20</v>
      </c>
      <c r="G176" s="1" t="s">
        <v>114</v>
      </c>
      <c r="H176" s="5">
        <v>4</v>
      </c>
      <c r="I176" s="3">
        <v>10001.33</v>
      </c>
      <c r="J176" s="3">
        <v>859.46</v>
      </c>
      <c r="K176" s="1">
        <v>10</v>
      </c>
    </row>
    <row r="177" spans="1:11" x14ac:dyDescent="0.3">
      <c r="A177" s="1" t="s">
        <v>368</v>
      </c>
      <c r="B177" s="1" t="str">
        <f>TEXT(Table1[[#This Row],[Date]],"MMMM")</f>
        <v>December</v>
      </c>
      <c r="C177" s="1" t="s">
        <v>369</v>
      </c>
      <c r="D177" s="1" t="s">
        <v>52</v>
      </c>
      <c r="E177" s="1" t="s">
        <v>80</v>
      </c>
      <c r="F177" s="1" t="s">
        <v>14</v>
      </c>
      <c r="G177" s="1" t="s">
        <v>15</v>
      </c>
      <c r="H177" s="5">
        <v>5</v>
      </c>
      <c r="I177" s="3">
        <v>16561.38</v>
      </c>
      <c r="J177" s="3">
        <v>225.7</v>
      </c>
      <c r="K177" s="1">
        <v>15</v>
      </c>
    </row>
    <row r="178" spans="1:11" x14ac:dyDescent="0.3">
      <c r="A178" s="1" t="s">
        <v>370</v>
      </c>
      <c r="B178" s="1" t="str">
        <f>TEXT(Table1[[#This Row],[Date]],"MMMM")</f>
        <v>March</v>
      </c>
      <c r="C178" s="1" t="s">
        <v>371</v>
      </c>
      <c r="D178" s="1" t="s">
        <v>36</v>
      </c>
      <c r="E178" s="1" t="s">
        <v>30</v>
      </c>
      <c r="F178" s="1" t="s">
        <v>20</v>
      </c>
      <c r="G178" s="1" t="s">
        <v>68</v>
      </c>
      <c r="H178" s="5">
        <v>7</v>
      </c>
      <c r="I178" s="3">
        <v>7290.25</v>
      </c>
      <c r="J178" s="3">
        <v>701.17</v>
      </c>
      <c r="K178" s="1">
        <v>30</v>
      </c>
    </row>
    <row r="179" spans="1:11" x14ac:dyDescent="0.3">
      <c r="A179" s="1" t="s">
        <v>372</v>
      </c>
      <c r="B179" s="1" t="str">
        <f>TEXT(Table1[[#This Row],[Date]],"MMMM")</f>
        <v>June</v>
      </c>
      <c r="C179" s="1" t="s">
        <v>373</v>
      </c>
      <c r="D179" s="1" t="s">
        <v>111</v>
      </c>
      <c r="E179" s="1" t="s">
        <v>13</v>
      </c>
      <c r="F179" s="1" t="s">
        <v>14</v>
      </c>
      <c r="G179" s="1" t="s">
        <v>77</v>
      </c>
      <c r="H179" s="5">
        <v>6</v>
      </c>
      <c r="I179" s="3">
        <v>1463.7</v>
      </c>
      <c r="J179" s="3">
        <v>-13.11</v>
      </c>
      <c r="K179" s="1">
        <v>20</v>
      </c>
    </row>
    <row r="180" spans="1:11" x14ac:dyDescent="0.3">
      <c r="A180" s="1" t="s">
        <v>374</v>
      </c>
      <c r="B180" s="1" t="str">
        <f>TEXT(Table1[[#This Row],[Date]],"MMMM")</f>
        <v>July</v>
      </c>
      <c r="C180" s="1" t="s">
        <v>247</v>
      </c>
      <c r="D180" s="1" t="s">
        <v>88</v>
      </c>
      <c r="E180" s="1" t="s">
        <v>25</v>
      </c>
      <c r="F180" s="1" t="s">
        <v>20</v>
      </c>
      <c r="G180" s="1" t="s">
        <v>21</v>
      </c>
      <c r="H180" s="5">
        <v>7</v>
      </c>
      <c r="I180" s="3">
        <v>26913.86</v>
      </c>
      <c r="J180" s="3">
        <v>4226.8500000000004</v>
      </c>
      <c r="K180" s="1">
        <v>0</v>
      </c>
    </row>
    <row r="181" spans="1:11" x14ac:dyDescent="0.3">
      <c r="A181" s="1" t="s">
        <v>375</v>
      </c>
      <c r="B181" s="1" t="str">
        <f>TEXT(Table1[[#This Row],[Date]],"MMMM")</f>
        <v>August</v>
      </c>
      <c r="C181" s="1" t="s">
        <v>376</v>
      </c>
      <c r="D181" s="1" t="s">
        <v>24</v>
      </c>
      <c r="E181" s="1" t="s">
        <v>30</v>
      </c>
      <c r="F181" s="1" t="s">
        <v>37</v>
      </c>
      <c r="G181" s="1" t="s">
        <v>55</v>
      </c>
      <c r="H181" s="5">
        <v>7</v>
      </c>
      <c r="I181" s="3">
        <v>30992.73</v>
      </c>
      <c r="J181" s="3">
        <v>4793.99</v>
      </c>
      <c r="K181" s="1">
        <v>0</v>
      </c>
    </row>
    <row r="182" spans="1:11" x14ac:dyDescent="0.3">
      <c r="A182" s="1" t="s">
        <v>377</v>
      </c>
      <c r="B182" s="1" t="str">
        <f>TEXT(Table1[[#This Row],[Date]],"MMMM")</f>
        <v>January</v>
      </c>
      <c r="C182" s="1" t="s">
        <v>378</v>
      </c>
      <c r="D182" s="1" t="s">
        <v>91</v>
      </c>
      <c r="E182" s="1" t="s">
        <v>30</v>
      </c>
      <c r="F182" s="1" t="s">
        <v>14</v>
      </c>
      <c r="G182" s="1" t="s">
        <v>139</v>
      </c>
      <c r="H182" s="5">
        <v>8</v>
      </c>
      <c r="I182" s="3">
        <v>26821.07</v>
      </c>
      <c r="J182" s="3">
        <v>1981.92</v>
      </c>
      <c r="K182" s="1">
        <v>15</v>
      </c>
    </row>
    <row r="183" spans="1:11" x14ac:dyDescent="0.3">
      <c r="A183" s="1" t="s">
        <v>379</v>
      </c>
      <c r="B183" s="1" t="str">
        <f>TEXT(Table1[[#This Row],[Date]],"MMMM")</f>
        <v>June</v>
      </c>
      <c r="C183" s="1" t="s">
        <v>17</v>
      </c>
      <c r="D183" s="1" t="s">
        <v>111</v>
      </c>
      <c r="E183" s="1" t="s">
        <v>59</v>
      </c>
      <c r="F183" s="1" t="s">
        <v>14</v>
      </c>
      <c r="G183" s="1" t="s">
        <v>77</v>
      </c>
      <c r="H183" s="5">
        <v>4</v>
      </c>
      <c r="I183" s="3">
        <v>7733.44</v>
      </c>
      <c r="J183" s="3">
        <v>1104.47</v>
      </c>
      <c r="K183" s="1">
        <v>5</v>
      </c>
    </row>
    <row r="184" spans="1:11" x14ac:dyDescent="0.3">
      <c r="A184" s="1" t="s">
        <v>380</v>
      </c>
      <c r="B184" s="1" t="str">
        <f>TEXT(Table1[[#This Row],[Date]],"MMMM")</f>
        <v>May</v>
      </c>
      <c r="C184" s="1" t="s">
        <v>381</v>
      </c>
      <c r="D184" s="1" t="s">
        <v>12</v>
      </c>
      <c r="E184" s="1" t="s">
        <v>59</v>
      </c>
      <c r="F184" s="1" t="s">
        <v>37</v>
      </c>
      <c r="G184" s="1" t="s">
        <v>46</v>
      </c>
      <c r="H184" s="5">
        <v>7</v>
      </c>
      <c r="I184" s="3">
        <v>9759.44</v>
      </c>
      <c r="J184" s="3">
        <v>2016.32</v>
      </c>
      <c r="K184" s="1">
        <v>0</v>
      </c>
    </row>
    <row r="185" spans="1:11" x14ac:dyDescent="0.3">
      <c r="A185" s="1" t="s">
        <v>382</v>
      </c>
      <c r="B185" s="1" t="str">
        <f>TEXT(Table1[[#This Row],[Date]],"MMMM")</f>
        <v>February</v>
      </c>
      <c r="C185" s="1" t="s">
        <v>383</v>
      </c>
      <c r="D185" s="1" t="s">
        <v>111</v>
      </c>
      <c r="E185" s="1" t="s">
        <v>30</v>
      </c>
      <c r="F185" s="1" t="s">
        <v>20</v>
      </c>
      <c r="G185" s="1" t="s">
        <v>42</v>
      </c>
      <c r="H185" s="5">
        <v>3</v>
      </c>
      <c r="I185" s="3">
        <v>12798.92</v>
      </c>
      <c r="J185" s="3">
        <v>941.71</v>
      </c>
      <c r="K185" s="1">
        <v>10</v>
      </c>
    </row>
    <row r="186" spans="1:11" x14ac:dyDescent="0.3">
      <c r="A186" s="1" t="s">
        <v>384</v>
      </c>
      <c r="B186" s="1" t="str">
        <f>TEXT(Table1[[#This Row],[Date]],"MMMM")</f>
        <v>December</v>
      </c>
      <c r="C186" s="1" t="s">
        <v>286</v>
      </c>
      <c r="D186" s="1" t="s">
        <v>29</v>
      </c>
      <c r="E186" s="1" t="s">
        <v>30</v>
      </c>
      <c r="F186" s="1" t="s">
        <v>20</v>
      </c>
      <c r="G186" s="1" t="s">
        <v>68</v>
      </c>
      <c r="H186" s="5">
        <v>3</v>
      </c>
      <c r="I186" s="3">
        <v>14055.16</v>
      </c>
      <c r="J186" s="3">
        <v>949.04</v>
      </c>
      <c r="K186" s="1">
        <v>5</v>
      </c>
    </row>
    <row r="187" spans="1:11" x14ac:dyDescent="0.3">
      <c r="A187" s="1" t="s">
        <v>385</v>
      </c>
      <c r="B187" s="1" t="str">
        <f>TEXT(Table1[[#This Row],[Date]],"MMMM")</f>
        <v>February</v>
      </c>
      <c r="C187" s="1" t="s">
        <v>386</v>
      </c>
      <c r="D187" s="1" t="s">
        <v>29</v>
      </c>
      <c r="E187" s="1" t="s">
        <v>59</v>
      </c>
      <c r="F187" s="1" t="s">
        <v>14</v>
      </c>
      <c r="G187" s="1" t="s">
        <v>77</v>
      </c>
      <c r="H187" s="5">
        <v>1</v>
      </c>
      <c r="I187" s="3">
        <v>3609.98</v>
      </c>
      <c r="J187" s="3">
        <v>626.78</v>
      </c>
      <c r="K187" s="1">
        <v>0</v>
      </c>
    </row>
    <row r="188" spans="1:11" x14ac:dyDescent="0.3">
      <c r="A188" s="1" t="s">
        <v>387</v>
      </c>
      <c r="B188" s="1" t="str">
        <f>TEXT(Table1[[#This Row],[Date]],"MMMM")</f>
        <v>September</v>
      </c>
      <c r="C188" s="1" t="s">
        <v>388</v>
      </c>
      <c r="D188" s="1" t="s">
        <v>58</v>
      </c>
      <c r="E188" s="1" t="s">
        <v>49</v>
      </c>
      <c r="F188" s="1" t="s">
        <v>14</v>
      </c>
      <c r="G188" s="1" t="s">
        <v>33</v>
      </c>
      <c r="H188" s="5">
        <v>5</v>
      </c>
      <c r="I188" s="3">
        <v>5091.82</v>
      </c>
      <c r="J188" s="3">
        <v>190.95</v>
      </c>
      <c r="K188" s="1">
        <v>10</v>
      </c>
    </row>
    <row r="189" spans="1:11" x14ac:dyDescent="0.3">
      <c r="A189" s="1" t="s">
        <v>389</v>
      </c>
      <c r="B189" s="1" t="str">
        <f>TEXT(Table1[[#This Row],[Date]],"MMMM")</f>
        <v>June</v>
      </c>
      <c r="C189" s="1" t="s">
        <v>48</v>
      </c>
      <c r="D189" s="1" t="s">
        <v>29</v>
      </c>
      <c r="E189" s="1" t="s">
        <v>80</v>
      </c>
      <c r="F189" s="1" t="s">
        <v>37</v>
      </c>
      <c r="G189" s="1" t="s">
        <v>83</v>
      </c>
      <c r="H189" s="5">
        <v>4</v>
      </c>
      <c r="I189" s="3">
        <v>10666.34</v>
      </c>
      <c r="J189" s="3">
        <v>339.63</v>
      </c>
      <c r="K189" s="1">
        <v>25</v>
      </c>
    </row>
    <row r="190" spans="1:11" x14ac:dyDescent="0.3">
      <c r="A190" s="1" t="s">
        <v>390</v>
      </c>
      <c r="B190" s="1" t="str">
        <f>TEXT(Table1[[#This Row],[Date]],"MMMM")</f>
        <v>May</v>
      </c>
      <c r="C190" s="1" t="s">
        <v>391</v>
      </c>
      <c r="D190" s="1" t="s">
        <v>12</v>
      </c>
      <c r="E190" s="1" t="s">
        <v>63</v>
      </c>
      <c r="F190" s="1" t="s">
        <v>14</v>
      </c>
      <c r="G190" s="1" t="s">
        <v>15</v>
      </c>
      <c r="H190" s="5">
        <v>5</v>
      </c>
      <c r="I190" s="3">
        <v>16263.44</v>
      </c>
      <c r="J190" s="3">
        <v>-51.56</v>
      </c>
      <c r="K190" s="1">
        <v>20</v>
      </c>
    </row>
    <row r="191" spans="1:11" x14ac:dyDescent="0.3">
      <c r="A191" s="1" t="s">
        <v>392</v>
      </c>
      <c r="B191" s="1" t="str">
        <f>TEXT(Table1[[#This Row],[Date]],"MMMM")</f>
        <v>March</v>
      </c>
      <c r="C191" s="1" t="s">
        <v>393</v>
      </c>
      <c r="D191" s="1" t="s">
        <v>36</v>
      </c>
      <c r="E191" s="1" t="s">
        <v>49</v>
      </c>
      <c r="F191" s="1" t="s">
        <v>14</v>
      </c>
      <c r="G191" s="1" t="s">
        <v>33</v>
      </c>
      <c r="H191" s="5">
        <v>5</v>
      </c>
      <c r="I191" s="3">
        <v>14152.99</v>
      </c>
      <c r="J191" s="3">
        <v>-362.3</v>
      </c>
      <c r="K191" s="1">
        <v>20</v>
      </c>
    </row>
    <row r="192" spans="1:11" x14ac:dyDescent="0.3">
      <c r="A192" s="1" t="s">
        <v>394</v>
      </c>
      <c r="B192" s="1" t="str">
        <f>TEXT(Table1[[#This Row],[Date]],"MMMM")</f>
        <v>December</v>
      </c>
      <c r="C192" s="1" t="s">
        <v>395</v>
      </c>
      <c r="D192" s="1" t="s">
        <v>71</v>
      </c>
      <c r="E192" s="1" t="s">
        <v>13</v>
      </c>
      <c r="F192" s="1" t="s">
        <v>20</v>
      </c>
      <c r="G192" s="1" t="s">
        <v>42</v>
      </c>
      <c r="H192" s="5">
        <v>7</v>
      </c>
      <c r="I192" s="3">
        <v>4631.42</v>
      </c>
      <c r="J192" s="3">
        <v>-179.3</v>
      </c>
      <c r="K192" s="1">
        <v>30</v>
      </c>
    </row>
    <row r="193" spans="1:11" x14ac:dyDescent="0.3">
      <c r="A193" s="1" t="s">
        <v>396</v>
      </c>
      <c r="B193" s="1" t="str">
        <f>TEXT(Table1[[#This Row],[Date]],"MMMM")</f>
        <v>December</v>
      </c>
      <c r="C193" s="1" t="s">
        <v>397</v>
      </c>
      <c r="D193" s="1" t="s">
        <v>52</v>
      </c>
      <c r="E193" s="1" t="s">
        <v>13</v>
      </c>
      <c r="F193" s="1" t="s">
        <v>20</v>
      </c>
      <c r="G193" s="1" t="s">
        <v>42</v>
      </c>
      <c r="H193" s="5">
        <v>2</v>
      </c>
      <c r="I193" s="3">
        <v>6606.61</v>
      </c>
      <c r="J193" s="3">
        <v>220.61</v>
      </c>
      <c r="K193" s="1">
        <v>25</v>
      </c>
    </row>
    <row r="194" spans="1:11" x14ac:dyDescent="0.3">
      <c r="A194" s="1" t="s">
        <v>398</v>
      </c>
      <c r="B194" s="1" t="str">
        <f>TEXT(Table1[[#This Row],[Date]],"MMMM")</f>
        <v>December</v>
      </c>
      <c r="C194" s="1" t="s">
        <v>185</v>
      </c>
      <c r="D194" s="1" t="s">
        <v>111</v>
      </c>
      <c r="E194" s="1" t="s">
        <v>80</v>
      </c>
      <c r="F194" s="1" t="s">
        <v>37</v>
      </c>
      <c r="G194" s="1" t="s">
        <v>46</v>
      </c>
      <c r="H194" s="5">
        <v>4</v>
      </c>
      <c r="I194" s="3">
        <v>9125.9</v>
      </c>
      <c r="J194" s="3">
        <v>1712.08</v>
      </c>
      <c r="K194" s="1">
        <v>0</v>
      </c>
    </row>
    <row r="195" spans="1:11" x14ac:dyDescent="0.3">
      <c r="A195" s="1" t="s">
        <v>399</v>
      </c>
      <c r="B195" s="1" t="str">
        <f>TEXT(Table1[[#This Row],[Date]],"MMMM")</f>
        <v>December</v>
      </c>
      <c r="C195" s="1" t="s">
        <v>400</v>
      </c>
      <c r="D195" s="1" t="s">
        <v>12</v>
      </c>
      <c r="E195" s="1" t="s">
        <v>80</v>
      </c>
      <c r="F195" s="1" t="s">
        <v>20</v>
      </c>
      <c r="G195" s="1" t="s">
        <v>21</v>
      </c>
      <c r="H195" s="5">
        <v>6</v>
      </c>
      <c r="I195" s="3">
        <v>5614.06</v>
      </c>
      <c r="J195" s="3">
        <v>165.16</v>
      </c>
      <c r="K195" s="1">
        <v>30</v>
      </c>
    </row>
    <row r="196" spans="1:11" x14ac:dyDescent="0.3">
      <c r="A196" s="1" t="s">
        <v>401</v>
      </c>
      <c r="B196" s="1" t="str">
        <f>TEXT(Table1[[#This Row],[Date]],"MMMM")</f>
        <v>November</v>
      </c>
      <c r="C196" s="1" t="s">
        <v>240</v>
      </c>
      <c r="D196" s="1" t="s">
        <v>91</v>
      </c>
      <c r="E196" s="1" t="s">
        <v>13</v>
      </c>
      <c r="F196" s="1" t="s">
        <v>14</v>
      </c>
      <c r="G196" s="1" t="s">
        <v>96</v>
      </c>
      <c r="H196" s="5">
        <v>1</v>
      </c>
      <c r="I196" s="3">
        <v>724.1</v>
      </c>
      <c r="J196" s="3">
        <v>10.29</v>
      </c>
      <c r="K196" s="1">
        <v>25</v>
      </c>
    </row>
    <row r="197" spans="1:11" x14ac:dyDescent="0.3">
      <c r="A197" s="1" t="s">
        <v>402</v>
      </c>
      <c r="B197" s="1" t="str">
        <f>TEXT(Table1[[#This Row],[Date]],"MMMM")</f>
        <v>June</v>
      </c>
      <c r="C197" s="1" t="s">
        <v>403</v>
      </c>
      <c r="D197" s="1" t="s">
        <v>52</v>
      </c>
      <c r="E197" s="1" t="s">
        <v>59</v>
      </c>
      <c r="F197" s="1" t="s">
        <v>20</v>
      </c>
      <c r="G197" s="1" t="s">
        <v>68</v>
      </c>
      <c r="H197" s="5">
        <v>7</v>
      </c>
      <c r="I197" s="3">
        <v>3786.43</v>
      </c>
      <c r="J197" s="3">
        <v>-358.56</v>
      </c>
      <c r="K197" s="1">
        <v>30</v>
      </c>
    </row>
    <row r="198" spans="1:11" x14ac:dyDescent="0.3">
      <c r="A198" s="1" t="s">
        <v>404</v>
      </c>
      <c r="B198" s="1" t="str">
        <f>TEXT(Table1[[#This Row],[Date]],"MMMM")</f>
        <v>April</v>
      </c>
      <c r="C198" s="1" t="s">
        <v>405</v>
      </c>
      <c r="D198" s="1" t="s">
        <v>67</v>
      </c>
      <c r="E198" s="1" t="s">
        <v>19</v>
      </c>
      <c r="F198" s="1" t="s">
        <v>14</v>
      </c>
      <c r="G198" s="1" t="s">
        <v>139</v>
      </c>
      <c r="H198" s="5">
        <v>4</v>
      </c>
      <c r="I198" s="3">
        <v>5934.67</v>
      </c>
      <c r="J198" s="3">
        <v>-107.11</v>
      </c>
      <c r="K198" s="1">
        <v>20</v>
      </c>
    </row>
    <row r="199" spans="1:11" x14ac:dyDescent="0.3">
      <c r="A199" s="1" t="s">
        <v>406</v>
      </c>
      <c r="B199" s="1" t="str">
        <f>TEXT(Table1[[#This Row],[Date]],"MMMM")</f>
        <v>October</v>
      </c>
      <c r="C199" s="1" t="s">
        <v>299</v>
      </c>
      <c r="D199" s="1" t="s">
        <v>91</v>
      </c>
      <c r="E199" s="1" t="s">
        <v>13</v>
      </c>
      <c r="F199" s="1" t="s">
        <v>37</v>
      </c>
      <c r="G199" s="1" t="s">
        <v>55</v>
      </c>
      <c r="H199" s="5">
        <v>8</v>
      </c>
      <c r="I199" s="3">
        <v>13940.53</v>
      </c>
      <c r="J199" s="3">
        <v>2336.0700000000002</v>
      </c>
      <c r="K199" s="1">
        <v>0</v>
      </c>
    </row>
    <row r="200" spans="1:11" x14ac:dyDescent="0.3">
      <c r="A200" s="1" t="s">
        <v>407</v>
      </c>
      <c r="B200" s="1" t="str">
        <f>TEXT(Table1[[#This Row],[Date]],"MMMM")</f>
        <v>October</v>
      </c>
      <c r="C200" s="1" t="s">
        <v>408</v>
      </c>
      <c r="D200" s="1" t="s">
        <v>111</v>
      </c>
      <c r="E200" s="1" t="s">
        <v>80</v>
      </c>
      <c r="F200" s="1" t="s">
        <v>37</v>
      </c>
      <c r="G200" s="1" t="s">
        <v>46</v>
      </c>
      <c r="H200" s="5">
        <v>8</v>
      </c>
      <c r="I200" s="3">
        <v>3279.62</v>
      </c>
      <c r="J200" s="3">
        <v>-134.09</v>
      </c>
      <c r="K200" s="1">
        <v>25</v>
      </c>
    </row>
    <row r="201" spans="1:11" x14ac:dyDescent="0.3">
      <c r="A201" s="1" t="s">
        <v>409</v>
      </c>
      <c r="B201" s="1" t="str">
        <f>TEXT(Table1[[#This Row],[Date]],"MMMM")</f>
        <v>June</v>
      </c>
      <c r="C201" s="1" t="s">
        <v>410</v>
      </c>
      <c r="D201" s="1" t="s">
        <v>91</v>
      </c>
      <c r="E201" s="1" t="s">
        <v>80</v>
      </c>
      <c r="F201" s="1" t="s">
        <v>37</v>
      </c>
      <c r="G201" s="1" t="s">
        <v>46</v>
      </c>
      <c r="H201" s="5">
        <v>8</v>
      </c>
      <c r="I201" s="3">
        <v>3073.65</v>
      </c>
      <c r="J201" s="3">
        <v>222.62</v>
      </c>
      <c r="K201" s="1">
        <v>10</v>
      </c>
    </row>
    <row r="202" spans="1:11" x14ac:dyDescent="0.3">
      <c r="A202" s="1" t="s">
        <v>411</v>
      </c>
      <c r="B202" s="1" t="str">
        <f>TEXT(Table1[[#This Row],[Date]],"MMMM")</f>
        <v>September</v>
      </c>
      <c r="C202" s="1" t="s">
        <v>412</v>
      </c>
      <c r="D202" s="1" t="s">
        <v>71</v>
      </c>
      <c r="E202" s="1" t="s">
        <v>63</v>
      </c>
      <c r="F202" s="1" t="s">
        <v>14</v>
      </c>
      <c r="G202" s="1" t="s">
        <v>77</v>
      </c>
      <c r="H202" s="5">
        <v>8</v>
      </c>
      <c r="I202" s="3">
        <v>27163.93</v>
      </c>
      <c r="J202" s="3">
        <v>5269.76</v>
      </c>
      <c r="K202" s="1">
        <v>0</v>
      </c>
    </row>
    <row r="203" spans="1:11" x14ac:dyDescent="0.3">
      <c r="A203" s="1" t="s">
        <v>413</v>
      </c>
      <c r="B203" s="1" t="str">
        <f>TEXT(Table1[[#This Row],[Date]],"MMMM")</f>
        <v>April</v>
      </c>
      <c r="C203" s="1" t="s">
        <v>414</v>
      </c>
      <c r="D203" s="1" t="s">
        <v>12</v>
      </c>
      <c r="E203" s="1" t="s">
        <v>49</v>
      </c>
      <c r="F203" s="1" t="s">
        <v>37</v>
      </c>
      <c r="G203" s="1" t="s">
        <v>46</v>
      </c>
      <c r="H203" s="5">
        <v>6</v>
      </c>
      <c r="I203" s="3">
        <v>9168.77</v>
      </c>
      <c r="J203" s="3">
        <v>749.14</v>
      </c>
      <c r="K203" s="1">
        <v>0</v>
      </c>
    </row>
    <row r="204" spans="1:11" x14ac:dyDescent="0.3">
      <c r="A204" s="1" t="s">
        <v>415</v>
      </c>
      <c r="B204" s="1" t="str">
        <f>TEXT(Table1[[#This Row],[Date]],"MMMM")</f>
        <v>November</v>
      </c>
      <c r="C204" s="1" t="s">
        <v>324</v>
      </c>
      <c r="D204" s="1" t="s">
        <v>45</v>
      </c>
      <c r="E204" s="1" t="s">
        <v>59</v>
      </c>
      <c r="F204" s="1" t="s">
        <v>37</v>
      </c>
      <c r="G204" s="1" t="s">
        <v>55</v>
      </c>
      <c r="H204" s="5">
        <v>5</v>
      </c>
      <c r="I204" s="3">
        <v>9709.2099999999991</v>
      </c>
      <c r="J204" s="3">
        <v>844.36</v>
      </c>
      <c r="K204" s="1">
        <v>5</v>
      </c>
    </row>
    <row r="205" spans="1:11" x14ac:dyDescent="0.3">
      <c r="A205" s="1" t="s">
        <v>416</v>
      </c>
      <c r="B205" s="1" t="str">
        <f>TEXT(Table1[[#This Row],[Date]],"MMMM")</f>
        <v>August</v>
      </c>
      <c r="C205" s="1" t="s">
        <v>417</v>
      </c>
      <c r="D205" s="1" t="s">
        <v>143</v>
      </c>
      <c r="E205" s="1" t="s">
        <v>63</v>
      </c>
      <c r="F205" s="1" t="s">
        <v>20</v>
      </c>
      <c r="G205" s="1" t="s">
        <v>26</v>
      </c>
      <c r="H205" s="5">
        <v>2</v>
      </c>
      <c r="I205" s="3">
        <v>5653.53</v>
      </c>
      <c r="J205" s="3">
        <v>-35.4</v>
      </c>
      <c r="K205" s="1">
        <v>30</v>
      </c>
    </row>
    <row r="206" spans="1:11" x14ac:dyDescent="0.3">
      <c r="A206" s="1" t="s">
        <v>418</v>
      </c>
      <c r="B206" s="1" t="str">
        <f>TEXT(Table1[[#This Row],[Date]],"MMMM")</f>
        <v>May</v>
      </c>
      <c r="C206" s="1" t="s">
        <v>316</v>
      </c>
      <c r="D206" s="1" t="s">
        <v>41</v>
      </c>
      <c r="E206" s="1" t="s">
        <v>25</v>
      </c>
      <c r="F206" s="1" t="s">
        <v>20</v>
      </c>
      <c r="G206" s="1" t="s">
        <v>42</v>
      </c>
      <c r="H206" s="5">
        <v>7</v>
      </c>
      <c r="I206" s="3">
        <v>22475.21</v>
      </c>
      <c r="J206" s="3">
        <v>952.55</v>
      </c>
      <c r="K206" s="1">
        <v>10</v>
      </c>
    </row>
    <row r="207" spans="1:11" x14ac:dyDescent="0.3">
      <c r="A207" s="1" t="s">
        <v>419</v>
      </c>
      <c r="B207" s="1" t="str">
        <f>TEXT(Table1[[#This Row],[Date]],"MMMM")</f>
        <v>May</v>
      </c>
      <c r="C207" s="1" t="s">
        <v>165</v>
      </c>
      <c r="D207" s="1" t="s">
        <v>24</v>
      </c>
      <c r="E207" s="1" t="s">
        <v>30</v>
      </c>
      <c r="F207" s="1" t="s">
        <v>14</v>
      </c>
      <c r="G207" s="1" t="s">
        <v>96</v>
      </c>
      <c r="H207" s="5">
        <v>8</v>
      </c>
      <c r="I207" s="3">
        <v>29347.53</v>
      </c>
      <c r="J207" s="3">
        <v>871.01</v>
      </c>
      <c r="K207" s="1">
        <v>5</v>
      </c>
    </row>
    <row r="208" spans="1:11" x14ac:dyDescent="0.3">
      <c r="A208" s="1" t="s">
        <v>420</v>
      </c>
      <c r="B208" s="1" t="str">
        <f>TEXT(Table1[[#This Row],[Date]],"MMMM")</f>
        <v>March</v>
      </c>
      <c r="C208" s="1" t="s">
        <v>421</v>
      </c>
      <c r="D208" s="1" t="s">
        <v>36</v>
      </c>
      <c r="E208" s="1" t="s">
        <v>63</v>
      </c>
      <c r="F208" s="1" t="s">
        <v>14</v>
      </c>
      <c r="G208" s="1" t="s">
        <v>96</v>
      </c>
      <c r="H208" s="5">
        <v>6</v>
      </c>
      <c r="I208" s="3">
        <v>21715.78</v>
      </c>
      <c r="J208" s="3">
        <v>381.57</v>
      </c>
      <c r="K208" s="1">
        <v>10</v>
      </c>
    </row>
    <row r="209" spans="1:11" x14ac:dyDescent="0.3">
      <c r="A209" s="1" t="s">
        <v>422</v>
      </c>
      <c r="B209" s="1" t="str">
        <f>TEXT(Table1[[#This Row],[Date]],"MMMM")</f>
        <v>February</v>
      </c>
      <c r="C209" s="1" t="s">
        <v>423</v>
      </c>
      <c r="D209" s="1" t="s">
        <v>58</v>
      </c>
      <c r="E209" s="1" t="s">
        <v>49</v>
      </c>
      <c r="F209" s="1" t="s">
        <v>37</v>
      </c>
      <c r="G209" s="1" t="s">
        <v>55</v>
      </c>
      <c r="H209" s="5">
        <v>6</v>
      </c>
      <c r="I209" s="3">
        <v>7213.27</v>
      </c>
      <c r="J209" s="3">
        <v>981.08</v>
      </c>
      <c r="K209" s="1">
        <v>10</v>
      </c>
    </row>
    <row r="210" spans="1:11" x14ac:dyDescent="0.3">
      <c r="A210" s="1" t="s">
        <v>424</v>
      </c>
      <c r="B210" s="1" t="str">
        <f>TEXT(Table1[[#This Row],[Date]],"MMMM")</f>
        <v>December</v>
      </c>
      <c r="C210" s="1" t="s">
        <v>395</v>
      </c>
      <c r="D210" s="1" t="s">
        <v>12</v>
      </c>
      <c r="E210" s="1" t="s">
        <v>59</v>
      </c>
      <c r="F210" s="1" t="s">
        <v>20</v>
      </c>
      <c r="G210" s="1" t="s">
        <v>21</v>
      </c>
      <c r="H210" s="5">
        <v>8</v>
      </c>
      <c r="I210" s="3">
        <v>2661.28</v>
      </c>
      <c r="J210" s="3">
        <v>9.07</v>
      </c>
      <c r="K210" s="1">
        <v>30</v>
      </c>
    </row>
    <row r="211" spans="1:11" x14ac:dyDescent="0.3">
      <c r="A211" s="1" t="s">
        <v>425</v>
      </c>
      <c r="B211" s="1" t="str">
        <f>TEXT(Table1[[#This Row],[Date]],"MMMM")</f>
        <v>November</v>
      </c>
      <c r="C211" s="1" t="s">
        <v>314</v>
      </c>
      <c r="D211" s="1" t="s">
        <v>67</v>
      </c>
      <c r="E211" s="1" t="s">
        <v>30</v>
      </c>
      <c r="F211" s="1" t="s">
        <v>37</v>
      </c>
      <c r="G211" s="1" t="s">
        <v>46</v>
      </c>
      <c r="H211" s="5">
        <v>7</v>
      </c>
      <c r="I211" s="3">
        <v>11877.31</v>
      </c>
      <c r="J211" s="3">
        <v>1094.68</v>
      </c>
      <c r="K211" s="1">
        <v>0</v>
      </c>
    </row>
    <row r="212" spans="1:11" x14ac:dyDescent="0.3">
      <c r="A212" s="1" t="s">
        <v>426</v>
      </c>
      <c r="B212" s="1" t="str">
        <f>TEXT(Table1[[#This Row],[Date]],"MMMM")</f>
        <v>March</v>
      </c>
      <c r="C212" s="1" t="s">
        <v>361</v>
      </c>
      <c r="D212" s="1" t="s">
        <v>41</v>
      </c>
      <c r="E212" s="1" t="s">
        <v>25</v>
      </c>
      <c r="F212" s="1" t="s">
        <v>37</v>
      </c>
      <c r="G212" s="1" t="s">
        <v>46</v>
      </c>
      <c r="H212" s="5">
        <v>5</v>
      </c>
      <c r="I212" s="3">
        <v>22127.63</v>
      </c>
      <c r="J212" s="3">
        <v>1820.58</v>
      </c>
      <c r="K212" s="1">
        <v>5</v>
      </c>
    </row>
    <row r="213" spans="1:11" x14ac:dyDescent="0.3">
      <c r="A213" s="1" t="s">
        <v>427</v>
      </c>
      <c r="B213" s="1" t="str">
        <f>TEXT(Table1[[#This Row],[Date]],"MMMM")</f>
        <v>September</v>
      </c>
      <c r="C213" s="1" t="s">
        <v>51</v>
      </c>
      <c r="D213" s="1" t="s">
        <v>24</v>
      </c>
      <c r="E213" s="1" t="s">
        <v>63</v>
      </c>
      <c r="F213" s="1" t="s">
        <v>20</v>
      </c>
      <c r="G213" s="1" t="s">
        <v>68</v>
      </c>
      <c r="H213" s="5">
        <v>4</v>
      </c>
      <c r="I213" s="3">
        <v>10904.29</v>
      </c>
      <c r="J213" s="3">
        <v>1794.84</v>
      </c>
      <c r="K213" s="1">
        <v>0</v>
      </c>
    </row>
    <row r="214" spans="1:11" x14ac:dyDescent="0.3">
      <c r="A214" s="1" t="s">
        <v>428</v>
      </c>
      <c r="B214" s="1" t="str">
        <f>TEXT(Table1[[#This Row],[Date]],"MMMM")</f>
        <v>October</v>
      </c>
      <c r="C214" s="1" t="s">
        <v>243</v>
      </c>
      <c r="D214" s="1" t="s">
        <v>52</v>
      </c>
      <c r="E214" s="1" t="s">
        <v>25</v>
      </c>
      <c r="F214" s="1" t="s">
        <v>20</v>
      </c>
      <c r="G214" s="1" t="s">
        <v>68</v>
      </c>
      <c r="H214" s="5">
        <v>8</v>
      </c>
      <c r="I214" s="3">
        <v>16280.11</v>
      </c>
      <c r="J214" s="3">
        <v>2236.31</v>
      </c>
      <c r="K214" s="1">
        <v>5</v>
      </c>
    </row>
    <row r="215" spans="1:11" x14ac:dyDescent="0.3">
      <c r="A215" s="1" t="s">
        <v>429</v>
      </c>
      <c r="B215" s="1" t="str">
        <f>TEXT(Table1[[#This Row],[Date]],"MMMM")</f>
        <v>April</v>
      </c>
      <c r="C215" s="1" t="s">
        <v>221</v>
      </c>
      <c r="D215" s="1" t="s">
        <v>58</v>
      </c>
      <c r="E215" s="1" t="s">
        <v>30</v>
      </c>
      <c r="F215" s="1" t="s">
        <v>20</v>
      </c>
      <c r="G215" s="1" t="s">
        <v>21</v>
      </c>
      <c r="H215" s="5">
        <v>4</v>
      </c>
      <c r="I215" s="3">
        <v>12922.56</v>
      </c>
      <c r="J215" s="3">
        <v>1634.17</v>
      </c>
      <c r="K215" s="1">
        <v>10</v>
      </c>
    </row>
    <row r="216" spans="1:11" x14ac:dyDescent="0.3">
      <c r="A216" s="1" t="s">
        <v>430</v>
      </c>
      <c r="B216" s="1" t="str">
        <f>TEXT(Table1[[#This Row],[Date]],"MMMM")</f>
        <v>February</v>
      </c>
      <c r="C216" s="1" t="s">
        <v>383</v>
      </c>
      <c r="D216" s="1" t="s">
        <v>88</v>
      </c>
      <c r="E216" s="1" t="s">
        <v>13</v>
      </c>
      <c r="F216" s="1" t="s">
        <v>14</v>
      </c>
      <c r="G216" s="1" t="s">
        <v>15</v>
      </c>
      <c r="H216" s="5">
        <v>6</v>
      </c>
      <c r="I216" s="3">
        <v>28931.34</v>
      </c>
      <c r="J216" s="3">
        <v>1638.86</v>
      </c>
      <c r="K216" s="1">
        <v>0</v>
      </c>
    </row>
    <row r="217" spans="1:11" x14ac:dyDescent="0.3">
      <c r="A217" s="1" t="s">
        <v>431</v>
      </c>
      <c r="B217" s="1" t="str">
        <f>TEXT(Table1[[#This Row],[Date]],"MMMM")</f>
        <v>June</v>
      </c>
      <c r="C217" s="1" t="s">
        <v>432</v>
      </c>
      <c r="D217" s="1" t="s">
        <v>95</v>
      </c>
      <c r="E217" s="1" t="s">
        <v>19</v>
      </c>
      <c r="F217" s="1" t="s">
        <v>37</v>
      </c>
      <c r="G217" s="1" t="s">
        <v>38</v>
      </c>
      <c r="H217" s="5">
        <v>8</v>
      </c>
      <c r="I217" s="3">
        <v>2756.81</v>
      </c>
      <c r="J217" s="3">
        <v>536.77</v>
      </c>
      <c r="K217" s="1">
        <v>10</v>
      </c>
    </row>
    <row r="218" spans="1:11" x14ac:dyDescent="0.3">
      <c r="A218" s="1" t="s">
        <v>433</v>
      </c>
      <c r="B218" s="1" t="str">
        <f>TEXT(Table1[[#This Row],[Date]],"MMMM")</f>
        <v>November</v>
      </c>
      <c r="C218" s="1" t="s">
        <v>324</v>
      </c>
      <c r="D218" s="1" t="s">
        <v>91</v>
      </c>
      <c r="E218" s="1" t="s">
        <v>30</v>
      </c>
      <c r="F218" s="1" t="s">
        <v>14</v>
      </c>
      <c r="G218" s="1" t="s">
        <v>96</v>
      </c>
      <c r="H218" s="5">
        <v>3</v>
      </c>
      <c r="I218" s="3">
        <v>6635</v>
      </c>
      <c r="J218" s="3">
        <v>238.39</v>
      </c>
      <c r="K218" s="1">
        <v>15</v>
      </c>
    </row>
    <row r="219" spans="1:11" x14ac:dyDescent="0.3">
      <c r="A219" s="1" t="s">
        <v>434</v>
      </c>
      <c r="B219" s="1" t="str">
        <f>TEXT(Table1[[#This Row],[Date]],"MMMM")</f>
        <v>May</v>
      </c>
      <c r="C219" s="1" t="s">
        <v>435</v>
      </c>
      <c r="D219" s="1" t="s">
        <v>41</v>
      </c>
      <c r="E219" s="1" t="s">
        <v>13</v>
      </c>
      <c r="F219" s="1" t="s">
        <v>20</v>
      </c>
      <c r="G219" s="1" t="s">
        <v>21</v>
      </c>
      <c r="H219" s="5">
        <v>5</v>
      </c>
      <c r="I219" s="3">
        <v>5013.3500000000004</v>
      </c>
      <c r="J219" s="3">
        <v>249.44</v>
      </c>
      <c r="K219" s="1">
        <v>10</v>
      </c>
    </row>
    <row r="220" spans="1:11" x14ac:dyDescent="0.3">
      <c r="A220" s="1" t="s">
        <v>436</v>
      </c>
      <c r="B220" s="1" t="str">
        <f>TEXT(Table1[[#This Row],[Date]],"MMMM")</f>
        <v>January</v>
      </c>
      <c r="C220" s="1" t="s">
        <v>211</v>
      </c>
      <c r="D220" s="1" t="s">
        <v>143</v>
      </c>
      <c r="E220" s="1" t="s">
        <v>13</v>
      </c>
      <c r="F220" s="1" t="s">
        <v>14</v>
      </c>
      <c r="G220" s="1" t="s">
        <v>139</v>
      </c>
      <c r="H220" s="5">
        <v>6</v>
      </c>
      <c r="I220" s="3">
        <v>1409.61</v>
      </c>
      <c r="J220" s="3">
        <v>291.01</v>
      </c>
      <c r="K220" s="1">
        <v>5</v>
      </c>
    </row>
    <row r="221" spans="1:11" x14ac:dyDescent="0.3">
      <c r="A221" s="1" t="s">
        <v>437</v>
      </c>
      <c r="B221" s="1" t="str">
        <f>TEXT(Table1[[#This Row],[Date]],"MMMM")</f>
        <v>November</v>
      </c>
      <c r="C221" s="1" t="s">
        <v>85</v>
      </c>
      <c r="D221" s="1" t="s">
        <v>29</v>
      </c>
      <c r="E221" s="1" t="s">
        <v>13</v>
      </c>
      <c r="F221" s="1" t="s">
        <v>20</v>
      </c>
      <c r="G221" s="1" t="s">
        <v>21</v>
      </c>
      <c r="H221" s="5">
        <v>5</v>
      </c>
      <c r="I221" s="3">
        <v>10424.02</v>
      </c>
      <c r="J221" s="3">
        <v>789.2</v>
      </c>
      <c r="K221" s="1">
        <v>0</v>
      </c>
    </row>
    <row r="222" spans="1:11" x14ac:dyDescent="0.3">
      <c r="A222" s="1" t="s">
        <v>438</v>
      </c>
      <c r="B222" s="1" t="str">
        <f>TEXT(Table1[[#This Row],[Date]],"MMMM")</f>
        <v>January</v>
      </c>
      <c r="C222" s="1" t="s">
        <v>245</v>
      </c>
      <c r="D222" s="1" t="s">
        <v>36</v>
      </c>
      <c r="E222" s="1" t="s">
        <v>80</v>
      </c>
      <c r="F222" s="1" t="s">
        <v>37</v>
      </c>
      <c r="G222" s="1" t="s">
        <v>83</v>
      </c>
      <c r="H222" s="5">
        <v>6</v>
      </c>
      <c r="I222" s="3">
        <v>16846.72</v>
      </c>
      <c r="J222" s="3">
        <v>437.06</v>
      </c>
      <c r="K222" s="1">
        <v>5</v>
      </c>
    </row>
    <row r="223" spans="1:11" x14ac:dyDescent="0.3">
      <c r="A223" s="1" t="s">
        <v>439</v>
      </c>
      <c r="B223" s="1" t="str">
        <f>TEXT(Table1[[#This Row],[Date]],"MMMM")</f>
        <v>December</v>
      </c>
      <c r="C223" s="1" t="s">
        <v>440</v>
      </c>
      <c r="D223" s="1" t="s">
        <v>41</v>
      </c>
      <c r="E223" s="1" t="s">
        <v>63</v>
      </c>
      <c r="F223" s="1" t="s">
        <v>37</v>
      </c>
      <c r="G223" s="1" t="s">
        <v>46</v>
      </c>
      <c r="H223" s="5">
        <v>5</v>
      </c>
      <c r="I223" s="3">
        <v>15270.95</v>
      </c>
      <c r="J223" s="3">
        <v>1541.5</v>
      </c>
      <c r="K223" s="1">
        <v>20</v>
      </c>
    </row>
    <row r="224" spans="1:11" x14ac:dyDescent="0.3">
      <c r="A224" s="1" t="s">
        <v>441</v>
      </c>
      <c r="B224" s="1" t="str">
        <f>TEXT(Table1[[#This Row],[Date]],"MMMM")</f>
        <v>November</v>
      </c>
      <c r="C224" s="1" t="s">
        <v>442</v>
      </c>
      <c r="D224" s="1" t="s">
        <v>58</v>
      </c>
      <c r="E224" s="1" t="s">
        <v>63</v>
      </c>
      <c r="F224" s="1" t="s">
        <v>37</v>
      </c>
      <c r="G224" s="1" t="s">
        <v>38</v>
      </c>
      <c r="H224" s="5">
        <v>5</v>
      </c>
      <c r="I224" s="3">
        <v>5706.44</v>
      </c>
      <c r="J224" s="3">
        <v>240.94</v>
      </c>
      <c r="K224" s="1">
        <v>10</v>
      </c>
    </row>
    <row r="225" spans="1:11" x14ac:dyDescent="0.3">
      <c r="A225" s="1" t="s">
        <v>443</v>
      </c>
      <c r="B225" s="1" t="str">
        <f>TEXT(Table1[[#This Row],[Date]],"MMMM")</f>
        <v>April</v>
      </c>
      <c r="C225" s="1" t="s">
        <v>156</v>
      </c>
      <c r="D225" s="1" t="s">
        <v>95</v>
      </c>
      <c r="E225" s="1" t="s">
        <v>13</v>
      </c>
      <c r="F225" s="1" t="s">
        <v>37</v>
      </c>
      <c r="G225" s="1" t="s">
        <v>64</v>
      </c>
      <c r="H225" s="5">
        <v>1</v>
      </c>
      <c r="I225" s="3">
        <v>3086.5</v>
      </c>
      <c r="J225" s="3">
        <v>-188.17</v>
      </c>
      <c r="K225" s="1">
        <v>30</v>
      </c>
    </row>
    <row r="226" spans="1:11" x14ac:dyDescent="0.3">
      <c r="A226" s="1" t="s">
        <v>444</v>
      </c>
      <c r="B226" s="1" t="str">
        <f>TEXT(Table1[[#This Row],[Date]],"MMMM")</f>
        <v>November</v>
      </c>
      <c r="C226" s="1" t="s">
        <v>445</v>
      </c>
      <c r="D226" s="1" t="s">
        <v>52</v>
      </c>
      <c r="E226" s="1" t="s">
        <v>59</v>
      </c>
      <c r="F226" s="1" t="s">
        <v>37</v>
      </c>
      <c r="G226" s="1" t="s">
        <v>55</v>
      </c>
      <c r="H226" s="5">
        <v>7</v>
      </c>
      <c r="I226" s="3">
        <v>14322.79</v>
      </c>
      <c r="J226" s="3">
        <v>760.25</v>
      </c>
      <c r="K226" s="1">
        <v>15</v>
      </c>
    </row>
    <row r="227" spans="1:11" x14ac:dyDescent="0.3">
      <c r="A227" s="1" t="s">
        <v>446</v>
      </c>
      <c r="B227" s="1" t="str">
        <f>TEXT(Table1[[#This Row],[Date]],"MMMM")</f>
        <v>March</v>
      </c>
      <c r="C227" s="1" t="s">
        <v>447</v>
      </c>
      <c r="D227" s="1" t="s">
        <v>95</v>
      </c>
      <c r="E227" s="1" t="s">
        <v>19</v>
      </c>
      <c r="F227" s="1" t="s">
        <v>20</v>
      </c>
      <c r="G227" s="1" t="s">
        <v>42</v>
      </c>
      <c r="H227" s="5">
        <v>3</v>
      </c>
      <c r="I227" s="3">
        <v>3666.77</v>
      </c>
      <c r="J227" s="3">
        <v>261.37</v>
      </c>
      <c r="K227" s="1">
        <v>5</v>
      </c>
    </row>
    <row r="228" spans="1:11" x14ac:dyDescent="0.3">
      <c r="A228" s="1" t="s">
        <v>448</v>
      </c>
      <c r="B228" s="1" t="str">
        <f>TEXT(Table1[[#This Row],[Date]],"MMMM")</f>
        <v>November</v>
      </c>
      <c r="C228" s="1" t="s">
        <v>449</v>
      </c>
      <c r="D228" s="1" t="s">
        <v>67</v>
      </c>
      <c r="E228" s="1" t="s">
        <v>59</v>
      </c>
      <c r="F228" s="1" t="s">
        <v>37</v>
      </c>
      <c r="G228" s="1" t="s">
        <v>55</v>
      </c>
      <c r="H228" s="5">
        <v>6</v>
      </c>
      <c r="I228" s="3">
        <v>9405.91</v>
      </c>
      <c r="J228" s="3">
        <v>389.99</v>
      </c>
      <c r="K228" s="1">
        <v>20</v>
      </c>
    </row>
    <row r="229" spans="1:11" x14ac:dyDescent="0.3">
      <c r="A229" s="1" t="s">
        <v>450</v>
      </c>
      <c r="B229" s="1" t="str">
        <f>TEXT(Table1[[#This Row],[Date]],"MMMM")</f>
        <v>April</v>
      </c>
      <c r="C229" s="1" t="s">
        <v>227</v>
      </c>
      <c r="D229" s="1" t="s">
        <v>111</v>
      </c>
      <c r="E229" s="1" t="s">
        <v>63</v>
      </c>
      <c r="F229" s="1" t="s">
        <v>20</v>
      </c>
      <c r="G229" s="1" t="s">
        <v>68</v>
      </c>
      <c r="H229" s="5">
        <v>1</v>
      </c>
      <c r="I229" s="3">
        <v>2116.21</v>
      </c>
      <c r="J229" s="3">
        <v>-111.12</v>
      </c>
      <c r="K229" s="1">
        <v>25</v>
      </c>
    </row>
    <row r="230" spans="1:11" x14ac:dyDescent="0.3">
      <c r="A230" s="1" t="s">
        <v>451</v>
      </c>
      <c r="B230" s="1" t="str">
        <f>TEXT(Table1[[#This Row],[Date]],"MMMM")</f>
        <v>November</v>
      </c>
      <c r="C230" s="1" t="s">
        <v>452</v>
      </c>
      <c r="D230" s="1" t="s">
        <v>24</v>
      </c>
      <c r="E230" s="1" t="s">
        <v>63</v>
      </c>
      <c r="F230" s="1" t="s">
        <v>37</v>
      </c>
      <c r="G230" s="1" t="s">
        <v>64</v>
      </c>
      <c r="H230" s="5">
        <v>4</v>
      </c>
      <c r="I230" s="3">
        <v>11926.84</v>
      </c>
      <c r="J230" s="3">
        <v>790.08</v>
      </c>
      <c r="K230" s="1">
        <v>30</v>
      </c>
    </row>
    <row r="231" spans="1:11" x14ac:dyDescent="0.3">
      <c r="A231" s="1" t="s">
        <v>453</v>
      </c>
      <c r="B231" s="1" t="str">
        <f>TEXT(Table1[[#This Row],[Date]],"MMMM")</f>
        <v>March</v>
      </c>
      <c r="C231" s="1" t="s">
        <v>454</v>
      </c>
      <c r="D231" s="1" t="s">
        <v>111</v>
      </c>
      <c r="E231" s="1" t="s">
        <v>80</v>
      </c>
      <c r="F231" s="1" t="s">
        <v>20</v>
      </c>
      <c r="G231" s="1" t="s">
        <v>68</v>
      </c>
      <c r="H231" s="5">
        <v>2</v>
      </c>
      <c r="I231" s="3">
        <v>1651.18</v>
      </c>
      <c r="J231" s="3">
        <v>-106.34</v>
      </c>
      <c r="K231" s="1">
        <v>30</v>
      </c>
    </row>
    <row r="232" spans="1:11" x14ac:dyDescent="0.3">
      <c r="A232" s="1" t="s">
        <v>455</v>
      </c>
      <c r="B232" s="1" t="str">
        <f>TEXT(Table1[[#This Row],[Date]],"MMMM")</f>
        <v>June</v>
      </c>
      <c r="C232" s="1" t="s">
        <v>456</v>
      </c>
      <c r="D232" s="1" t="s">
        <v>18</v>
      </c>
      <c r="E232" s="1" t="s">
        <v>80</v>
      </c>
      <c r="F232" s="1" t="s">
        <v>20</v>
      </c>
      <c r="G232" s="1" t="s">
        <v>114</v>
      </c>
      <c r="H232" s="5">
        <v>5</v>
      </c>
      <c r="I232" s="3">
        <v>15507.65</v>
      </c>
      <c r="J232" s="3">
        <v>530.75</v>
      </c>
      <c r="K232" s="1">
        <v>5</v>
      </c>
    </row>
    <row r="233" spans="1:11" x14ac:dyDescent="0.3">
      <c r="A233" s="1" t="s">
        <v>457</v>
      </c>
      <c r="B233" s="1" t="str">
        <f>TEXT(Table1[[#This Row],[Date]],"MMMM")</f>
        <v>December</v>
      </c>
      <c r="C233" s="1" t="s">
        <v>173</v>
      </c>
      <c r="D233" s="1" t="s">
        <v>143</v>
      </c>
      <c r="E233" s="1" t="s">
        <v>63</v>
      </c>
      <c r="F233" s="1" t="s">
        <v>14</v>
      </c>
      <c r="G233" s="1" t="s">
        <v>33</v>
      </c>
      <c r="H233" s="5">
        <v>5</v>
      </c>
      <c r="I233" s="3">
        <v>5480.43</v>
      </c>
      <c r="J233" s="3">
        <v>-376.94</v>
      </c>
      <c r="K233" s="1">
        <v>30</v>
      </c>
    </row>
    <row r="234" spans="1:11" x14ac:dyDescent="0.3">
      <c r="A234" s="1" t="s">
        <v>458</v>
      </c>
      <c r="B234" s="1" t="str">
        <f>TEXT(Table1[[#This Row],[Date]],"MMMM")</f>
        <v>November</v>
      </c>
      <c r="C234" s="1" t="s">
        <v>459</v>
      </c>
      <c r="D234" s="1" t="s">
        <v>41</v>
      </c>
      <c r="E234" s="1" t="s">
        <v>19</v>
      </c>
      <c r="F234" s="1" t="s">
        <v>20</v>
      </c>
      <c r="G234" s="1" t="s">
        <v>68</v>
      </c>
      <c r="H234" s="5">
        <v>6</v>
      </c>
      <c r="I234" s="3">
        <v>10622.08</v>
      </c>
      <c r="J234" s="3">
        <v>1297.51</v>
      </c>
      <c r="K234" s="1">
        <v>0</v>
      </c>
    </row>
    <row r="235" spans="1:11" x14ac:dyDescent="0.3">
      <c r="A235" s="1" t="s">
        <v>460</v>
      </c>
      <c r="B235" s="1" t="str">
        <f>TEXT(Table1[[#This Row],[Date]],"MMMM")</f>
        <v>June</v>
      </c>
      <c r="C235" s="1" t="s">
        <v>288</v>
      </c>
      <c r="D235" s="1" t="s">
        <v>41</v>
      </c>
      <c r="E235" s="1" t="s">
        <v>25</v>
      </c>
      <c r="F235" s="1" t="s">
        <v>37</v>
      </c>
      <c r="G235" s="1" t="s">
        <v>83</v>
      </c>
      <c r="H235" s="5">
        <v>2</v>
      </c>
      <c r="I235" s="3">
        <v>1525.05</v>
      </c>
      <c r="J235" s="3">
        <v>101.49</v>
      </c>
      <c r="K235" s="1">
        <v>0</v>
      </c>
    </row>
    <row r="236" spans="1:11" x14ac:dyDescent="0.3">
      <c r="A236" s="1" t="s">
        <v>461</v>
      </c>
      <c r="B236" s="1" t="str">
        <f>TEXT(Table1[[#This Row],[Date]],"MMMM")</f>
        <v>March</v>
      </c>
      <c r="C236" s="1" t="s">
        <v>129</v>
      </c>
      <c r="D236" s="1" t="s">
        <v>12</v>
      </c>
      <c r="E236" s="1" t="s">
        <v>30</v>
      </c>
      <c r="F236" s="1" t="s">
        <v>14</v>
      </c>
      <c r="G236" s="1" t="s">
        <v>77</v>
      </c>
      <c r="H236" s="5">
        <v>2</v>
      </c>
      <c r="I236" s="3">
        <v>1046.92</v>
      </c>
      <c r="J236" s="3">
        <v>-16.84</v>
      </c>
      <c r="K236" s="1">
        <v>20</v>
      </c>
    </row>
    <row r="237" spans="1:11" x14ac:dyDescent="0.3">
      <c r="A237" s="1" t="s">
        <v>462</v>
      </c>
      <c r="B237" s="1" t="str">
        <f>TEXT(Table1[[#This Row],[Date]],"MMMM")</f>
        <v>December</v>
      </c>
      <c r="C237" s="1" t="s">
        <v>463</v>
      </c>
      <c r="D237" s="1" t="s">
        <v>111</v>
      </c>
      <c r="E237" s="1" t="s">
        <v>49</v>
      </c>
      <c r="F237" s="1" t="s">
        <v>14</v>
      </c>
      <c r="G237" s="1" t="s">
        <v>96</v>
      </c>
      <c r="H237" s="5">
        <v>1</v>
      </c>
      <c r="I237" s="3">
        <v>4412.07</v>
      </c>
      <c r="J237" s="3">
        <v>838.75</v>
      </c>
      <c r="K237" s="1">
        <v>0</v>
      </c>
    </row>
    <row r="238" spans="1:11" x14ac:dyDescent="0.3">
      <c r="A238" s="1" t="s">
        <v>464</v>
      </c>
      <c r="B238" s="1" t="str">
        <f>TEXT(Table1[[#This Row],[Date]],"MMMM")</f>
        <v>February</v>
      </c>
      <c r="C238" s="1" t="s">
        <v>259</v>
      </c>
      <c r="D238" s="1" t="s">
        <v>12</v>
      </c>
      <c r="E238" s="1" t="s">
        <v>63</v>
      </c>
      <c r="F238" s="1" t="s">
        <v>37</v>
      </c>
      <c r="G238" s="1" t="s">
        <v>83</v>
      </c>
      <c r="H238" s="5">
        <v>4</v>
      </c>
      <c r="I238" s="3">
        <v>7682.54</v>
      </c>
      <c r="J238" s="3">
        <v>1320.58</v>
      </c>
      <c r="K238" s="1">
        <v>15</v>
      </c>
    </row>
    <row r="239" spans="1:11" x14ac:dyDescent="0.3">
      <c r="A239" s="1" t="s">
        <v>465</v>
      </c>
      <c r="B239" s="1" t="str">
        <f>TEXT(Table1[[#This Row],[Date]],"MMMM")</f>
        <v>November</v>
      </c>
      <c r="C239" s="1" t="s">
        <v>40</v>
      </c>
      <c r="D239" s="1" t="s">
        <v>95</v>
      </c>
      <c r="E239" s="1" t="s">
        <v>25</v>
      </c>
      <c r="F239" s="1" t="s">
        <v>14</v>
      </c>
      <c r="G239" s="1" t="s">
        <v>77</v>
      </c>
      <c r="H239" s="5">
        <v>1</v>
      </c>
      <c r="I239" s="3">
        <v>2422.4699999999998</v>
      </c>
      <c r="J239" s="3">
        <v>-27.2</v>
      </c>
      <c r="K239" s="1">
        <v>25</v>
      </c>
    </row>
    <row r="240" spans="1:11" x14ac:dyDescent="0.3">
      <c r="A240" s="1" t="s">
        <v>466</v>
      </c>
      <c r="B240" s="1" t="str">
        <f>TEXT(Table1[[#This Row],[Date]],"MMMM")</f>
        <v>March</v>
      </c>
      <c r="C240" s="1" t="s">
        <v>467</v>
      </c>
      <c r="D240" s="1" t="s">
        <v>52</v>
      </c>
      <c r="E240" s="1" t="s">
        <v>13</v>
      </c>
      <c r="F240" s="1" t="s">
        <v>20</v>
      </c>
      <c r="G240" s="1" t="s">
        <v>68</v>
      </c>
      <c r="H240" s="5">
        <v>8</v>
      </c>
      <c r="I240" s="3">
        <v>22674.13</v>
      </c>
      <c r="J240" s="3">
        <v>-1047.99</v>
      </c>
      <c r="K240" s="1">
        <v>25</v>
      </c>
    </row>
    <row r="241" spans="1:11" x14ac:dyDescent="0.3">
      <c r="A241" s="1" t="s">
        <v>468</v>
      </c>
      <c r="B241" s="1" t="str">
        <f>TEXT(Table1[[#This Row],[Date]],"MMMM")</f>
        <v>August</v>
      </c>
      <c r="C241" s="1" t="s">
        <v>469</v>
      </c>
      <c r="D241" s="1" t="s">
        <v>143</v>
      </c>
      <c r="E241" s="1" t="s">
        <v>25</v>
      </c>
      <c r="F241" s="1" t="s">
        <v>14</v>
      </c>
      <c r="G241" s="1" t="s">
        <v>77</v>
      </c>
      <c r="H241" s="5">
        <v>7</v>
      </c>
      <c r="I241" s="3">
        <v>25797.119999999999</v>
      </c>
      <c r="J241" s="3">
        <v>1346.83</v>
      </c>
      <c r="K241" s="1">
        <v>10</v>
      </c>
    </row>
    <row r="242" spans="1:11" x14ac:dyDescent="0.3">
      <c r="A242" s="1" t="s">
        <v>470</v>
      </c>
      <c r="B242" s="1" t="str">
        <f>TEXT(Table1[[#This Row],[Date]],"MMMM")</f>
        <v>March</v>
      </c>
      <c r="C242" s="1" t="s">
        <v>471</v>
      </c>
      <c r="D242" s="1" t="s">
        <v>24</v>
      </c>
      <c r="E242" s="1" t="s">
        <v>25</v>
      </c>
      <c r="F242" s="1" t="s">
        <v>37</v>
      </c>
      <c r="G242" s="1" t="s">
        <v>64</v>
      </c>
      <c r="H242" s="5">
        <v>6</v>
      </c>
      <c r="I242" s="3">
        <v>12220.16</v>
      </c>
      <c r="J242" s="3">
        <v>-847.77</v>
      </c>
      <c r="K242" s="1">
        <v>25</v>
      </c>
    </row>
    <row r="243" spans="1:11" x14ac:dyDescent="0.3">
      <c r="A243" s="1" t="s">
        <v>472</v>
      </c>
      <c r="B243" s="1" t="str">
        <f>TEXT(Table1[[#This Row],[Date]],"MMMM")</f>
        <v>July</v>
      </c>
      <c r="C243" s="1" t="s">
        <v>473</v>
      </c>
      <c r="D243" s="1" t="s">
        <v>29</v>
      </c>
      <c r="E243" s="1" t="s">
        <v>25</v>
      </c>
      <c r="F243" s="1" t="s">
        <v>20</v>
      </c>
      <c r="G243" s="1" t="s">
        <v>114</v>
      </c>
      <c r="H243" s="5">
        <v>1</v>
      </c>
      <c r="I243" s="3">
        <v>308.98</v>
      </c>
      <c r="J243" s="3">
        <v>36.26</v>
      </c>
      <c r="K243" s="1">
        <v>5</v>
      </c>
    </row>
    <row r="244" spans="1:11" x14ac:dyDescent="0.3">
      <c r="A244" s="1" t="s">
        <v>474</v>
      </c>
      <c r="B244" s="1" t="str">
        <f>TEXT(Table1[[#This Row],[Date]],"MMMM")</f>
        <v>August</v>
      </c>
      <c r="C244" s="1" t="s">
        <v>475</v>
      </c>
      <c r="D244" s="1" t="s">
        <v>88</v>
      </c>
      <c r="E244" s="1" t="s">
        <v>49</v>
      </c>
      <c r="F244" s="1" t="s">
        <v>14</v>
      </c>
      <c r="G244" s="1" t="s">
        <v>139</v>
      </c>
      <c r="H244" s="5">
        <v>2</v>
      </c>
      <c r="I244" s="3">
        <v>5137.59</v>
      </c>
      <c r="J244" s="3">
        <v>756.54</v>
      </c>
      <c r="K244" s="1">
        <v>15</v>
      </c>
    </row>
    <row r="245" spans="1:11" x14ac:dyDescent="0.3">
      <c r="A245" s="1" t="s">
        <v>476</v>
      </c>
      <c r="B245" s="1" t="str">
        <f>TEXT(Table1[[#This Row],[Date]],"MMMM")</f>
        <v>July</v>
      </c>
      <c r="C245" s="1" t="s">
        <v>344</v>
      </c>
      <c r="D245" s="1" t="s">
        <v>95</v>
      </c>
      <c r="E245" s="1" t="s">
        <v>25</v>
      </c>
      <c r="F245" s="1" t="s">
        <v>20</v>
      </c>
      <c r="G245" s="1" t="s">
        <v>42</v>
      </c>
      <c r="H245" s="5">
        <v>7</v>
      </c>
      <c r="I245" s="3">
        <v>6745.88</v>
      </c>
      <c r="J245" s="3">
        <v>802.72</v>
      </c>
      <c r="K245" s="1">
        <v>10</v>
      </c>
    </row>
    <row r="246" spans="1:11" x14ac:dyDescent="0.3">
      <c r="A246" s="1" t="s">
        <v>477</v>
      </c>
      <c r="B246" s="1" t="str">
        <f>TEXT(Table1[[#This Row],[Date]],"MMMM")</f>
        <v>June</v>
      </c>
      <c r="C246" s="1" t="s">
        <v>478</v>
      </c>
      <c r="D246" s="1" t="s">
        <v>12</v>
      </c>
      <c r="E246" s="1" t="s">
        <v>25</v>
      </c>
      <c r="F246" s="1" t="s">
        <v>20</v>
      </c>
      <c r="G246" s="1" t="s">
        <v>21</v>
      </c>
      <c r="H246" s="5">
        <v>4</v>
      </c>
      <c r="I246" s="3">
        <v>10489.24</v>
      </c>
      <c r="J246" s="3">
        <v>824.06</v>
      </c>
      <c r="K246" s="1">
        <v>20</v>
      </c>
    </row>
    <row r="247" spans="1:11" x14ac:dyDescent="0.3">
      <c r="A247" s="1" t="s">
        <v>479</v>
      </c>
      <c r="B247" s="1" t="str">
        <f>TEXT(Table1[[#This Row],[Date]],"MMMM")</f>
        <v>May</v>
      </c>
      <c r="C247" s="1" t="s">
        <v>480</v>
      </c>
      <c r="D247" s="1" t="s">
        <v>12</v>
      </c>
      <c r="E247" s="1" t="s">
        <v>59</v>
      </c>
      <c r="F247" s="1" t="s">
        <v>20</v>
      </c>
      <c r="G247" s="1" t="s">
        <v>21</v>
      </c>
      <c r="H247" s="5">
        <v>4</v>
      </c>
      <c r="I247" s="3">
        <v>9190.41</v>
      </c>
      <c r="J247" s="3">
        <v>236.02</v>
      </c>
      <c r="K247" s="1">
        <v>30</v>
      </c>
    </row>
    <row r="248" spans="1:11" x14ac:dyDescent="0.3">
      <c r="A248" s="1" t="s">
        <v>481</v>
      </c>
      <c r="B248" s="1" t="str">
        <f>TEXT(Table1[[#This Row],[Date]],"MMMM")</f>
        <v>April</v>
      </c>
      <c r="C248" s="1" t="s">
        <v>482</v>
      </c>
      <c r="D248" s="1" t="s">
        <v>29</v>
      </c>
      <c r="E248" s="1" t="s">
        <v>49</v>
      </c>
      <c r="F248" s="1" t="s">
        <v>14</v>
      </c>
      <c r="G248" s="1" t="s">
        <v>15</v>
      </c>
      <c r="H248" s="5">
        <v>7</v>
      </c>
      <c r="I248" s="3">
        <v>13737.98</v>
      </c>
      <c r="J248" s="3">
        <v>1056.0899999999999</v>
      </c>
      <c r="K248" s="1">
        <v>25</v>
      </c>
    </row>
    <row r="249" spans="1:11" x14ac:dyDescent="0.3">
      <c r="A249" s="1" t="s">
        <v>483</v>
      </c>
      <c r="B249" s="1" t="str">
        <f>TEXT(Table1[[#This Row],[Date]],"MMMM")</f>
        <v>May</v>
      </c>
      <c r="C249" s="1" t="s">
        <v>350</v>
      </c>
      <c r="D249" s="1" t="s">
        <v>143</v>
      </c>
      <c r="E249" s="1" t="s">
        <v>25</v>
      </c>
      <c r="F249" s="1" t="s">
        <v>37</v>
      </c>
      <c r="G249" s="1" t="s">
        <v>83</v>
      </c>
      <c r="H249" s="5">
        <v>3</v>
      </c>
      <c r="I249" s="3">
        <v>2629.21</v>
      </c>
      <c r="J249" s="3">
        <v>162.93</v>
      </c>
      <c r="K249" s="1">
        <v>20</v>
      </c>
    </row>
    <row r="250" spans="1:11" x14ac:dyDescent="0.3">
      <c r="A250" s="1" t="s">
        <v>484</v>
      </c>
      <c r="B250" s="1" t="str">
        <f>TEXT(Table1[[#This Row],[Date]],"MMMM")</f>
        <v>December</v>
      </c>
      <c r="C250" s="1" t="s">
        <v>485</v>
      </c>
      <c r="D250" s="1" t="s">
        <v>18</v>
      </c>
      <c r="E250" s="1" t="s">
        <v>59</v>
      </c>
      <c r="F250" s="1" t="s">
        <v>20</v>
      </c>
      <c r="G250" s="1" t="s">
        <v>68</v>
      </c>
      <c r="H250" s="5">
        <v>1</v>
      </c>
      <c r="I250" s="3">
        <v>4376.62</v>
      </c>
      <c r="J250" s="3">
        <v>143.38999999999999</v>
      </c>
      <c r="K250" s="1">
        <v>10</v>
      </c>
    </row>
    <row r="251" spans="1:11" x14ac:dyDescent="0.3">
      <c r="A251" s="1" t="s">
        <v>486</v>
      </c>
      <c r="B251" s="1" t="str">
        <f>TEXT(Table1[[#This Row],[Date]],"MMMM")</f>
        <v>February</v>
      </c>
      <c r="C251" s="1" t="s">
        <v>383</v>
      </c>
      <c r="D251" s="1" t="s">
        <v>24</v>
      </c>
      <c r="E251" s="1" t="s">
        <v>59</v>
      </c>
      <c r="F251" s="1" t="s">
        <v>14</v>
      </c>
      <c r="G251" s="1" t="s">
        <v>96</v>
      </c>
      <c r="H251" s="5">
        <v>7</v>
      </c>
      <c r="I251" s="3">
        <v>12706.24</v>
      </c>
      <c r="J251" s="3">
        <v>371.45</v>
      </c>
      <c r="K251" s="1">
        <v>25</v>
      </c>
    </row>
    <row r="252" spans="1:11" x14ac:dyDescent="0.3">
      <c r="A252" s="1" t="s">
        <v>487</v>
      </c>
      <c r="B252" s="1" t="str">
        <f>TEXT(Table1[[#This Row],[Date]],"MMMM")</f>
        <v>November</v>
      </c>
      <c r="C252" s="1" t="s">
        <v>292</v>
      </c>
      <c r="D252" s="1" t="s">
        <v>12</v>
      </c>
      <c r="E252" s="1" t="s">
        <v>19</v>
      </c>
      <c r="F252" s="1" t="s">
        <v>20</v>
      </c>
      <c r="G252" s="1" t="s">
        <v>114</v>
      </c>
      <c r="H252" s="5">
        <v>1</v>
      </c>
      <c r="I252" s="3">
        <v>2582.44</v>
      </c>
      <c r="J252" s="3">
        <v>204.33</v>
      </c>
      <c r="K252" s="1">
        <v>20</v>
      </c>
    </row>
    <row r="253" spans="1:11" x14ac:dyDescent="0.3">
      <c r="A253" s="1" t="s">
        <v>488</v>
      </c>
      <c r="B253" s="1" t="str">
        <f>TEXT(Table1[[#This Row],[Date]],"MMMM")</f>
        <v>December</v>
      </c>
      <c r="C253" s="1" t="s">
        <v>489</v>
      </c>
      <c r="D253" s="1" t="s">
        <v>95</v>
      </c>
      <c r="E253" s="1" t="s">
        <v>19</v>
      </c>
      <c r="F253" s="1" t="s">
        <v>14</v>
      </c>
      <c r="G253" s="1" t="s">
        <v>96</v>
      </c>
      <c r="H253" s="5">
        <v>1</v>
      </c>
      <c r="I253" s="3">
        <v>620.1</v>
      </c>
      <c r="J253" s="3">
        <v>56.24</v>
      </c>
      <c r="K253" s="1">
        <v>0</v>
      </c>
    </row>
    <row r="254" spans="1:11" x14ac:dyDescent="0.3">
      <c r="A254" s="1" t="s">
        <v>490</v>
      </c>
      <c r="B254" s="1" t="str">
        <f>TEXT(Table1[[#This Row],[Date]],"MMMM")</f>
        <v>August</v>
      </c>
      <c r="C254" s="1" t="s">
        <v>491</v>
      </c>
      <c r="D254" s="1" t="s">
        <v>52</v>
      </c>
      <c r="E254" s="1" t="s">
        <v>13</v>
      </c>
      <c r="F254" s="1" t="s">
        <v>14</v>
      </c>
      <c r="G254" s="1" t="s">
        <v>96</v>
      </c>
      <c r="H254" s="5">
        <v>4</v>
      </c>
      <c r="I254" s="3">
        <v>10122.129999999999</v>
      </c>
      <c r="J254" s="3">
        <v>944.43</v>
      </c>
      <c r="K254" s="1">
        <v>25</v>
      </c>
    </row>
    <row r="255" spans="1:11" x14ac:dyDescent="0.3">
      <c r="A255" s="1" t="s">
        <v>492</v>
      </c>
      <c r="B255" s="1" t="str">
        <f>TEXT(Table1[[#This Row],[Date]],"MMMM")</f>
        <v>March</v>
      </c>
      <c r="C255" s="1" t="s">
        <v>361</v>
      </c>
      <c r="D255" s="1" t="s">
        <v>12</v>
      </c>
      <c r="E255" s="1" t="s">
        <v>30</v>
      </c>
      <c r="F255" s="1" t="s">
        <v>20</v>
      </c>
      <c r="G255" s="1" t="s">
        <v>42</v>
      </c>
      <c r="H255" s="5">
        <v>4</v>
      </c>
      <c r="I255" s="3">
        <v>10005.530000000001</v>
      </c>
      <c r="J255" s="3">
        <v>1968.23</v>
      </c>
      <c r="K255" s="1">
        <v>10</v>
      </c>
    </row>
    <row r="256" spans="1:11" x14ac:dyDescent="0.3">
      <c r="A256" s="1" t="s">
        <v>493</v>
      </c>
      <c r="B256" s="1" t="str">
        <f>TEXT(Table1[[#This Row],[Date]],"MMMM")</f>
        <v>June</v>
      </c>
      <c r="C256" s="1" t="s">
        <v>494</v>
      </c>
      <c r="D256" s="1" t="s">
        <v>36</v>
      </c>
      <c r="E256" s="1" t="s">
        <v>49</v>
      </c>
      <c r="F256" s="1" t="s">
        <v>14</v>
      </c>
      <c r="G256" s="1" t="s">
        <v>96</v>
      </c>
      <c r="H256" s="5">
        <v>6</v>
      </c>
      <c r="I256" s="3">
        <v>14111.02</v>
      </c>
      <c r="J256" s="3">
        <v>1549.23</v>
      </c>
      <c r="K256" s="1">
        <v>20</v>
      </c>
    </row>
    <row r="257" spans="1:11" x14ac:dyDescent="0.3">
      <c r="A257" s="1" t="s">
        <v>495</v>
      </c>
      <c r="B257" s="1" t="str">
        <f>TEXT(Table1[[#This Row],[Date]],"MMMM")</f>
        <v>March</v>
      </c>
      <c r="C257" s="1" t="s">
        <v>496</v>
      </c>
      <c r="D257" s="1" t="s">
        <v>95</v>
      </c>
      <c r="E257" s="1" t="s">
        <v>49</v>
      </c>
      <c r="F257" s="1" t="s">
        <v>20</v>
      </c>
      <c r="G257" s="1" t="s">
        <v>42</v>
      </c>
      <c r="H257" s="5">
        <v>6</v>
      </c>
      <c r="I257" s="3">
        <v>21307.93</v>
      </c>
      <c r="J257" s="3">
        <v>-713.58</v>
      </c>
      <c r="K257" s="1">
        <v>25</v>
      </c>
    </row>
    <row r="258" spans="1:11" x14ac:dyDescent="0.3">
      <c r="A258" s="1" t="s">
        <v>497</v>
      </c>
      <c r="B258" s="1" t="str">
        <f>TEXT(Table1[[#This Row],[Date]],"MMMM")</f>
        <v>May</v>
      </c>
      <c r="C258" s="1" t="s">
        <v>270</v>
      </c>
      <c r="D258" s="1" t="s">
        <v>24</v>
      </c>
      <c r="E258" s="1" t="s">
        <v>19</v>
      </c>
      <c r="F258" s="1" t="s">
        <v>20</v>
      </c>
      <c r="G258" s="1" t="s">
        <v>21</v>
      </c>
      <c r="H258" s="5">
        <v>5</v>
      </c>
      <c r="I258" s="3">
        <v>3447.09</v>
      </c>
      <c r="J258" s="3">
        <v>335.71</v>
      </c>
      <c r="K258" s="1">
        <v>30</v>
      </c>
    </row>
    <row r="259" spans="1:11" x14ac:dyDescent="0.3">
      <c r="A259" s="1" t="s">
        <v>498</v>
      </c>
      <c r="B259" s="1" t="str">
        <f>TEXT(Table1[[#This Row],[Date]],"MMMM")</f>
        <v>September</v>
      </c>
      <c r="C259" s="1" t="s">
        <v>499</v>
      </c>
      <c r="D259" s="1" t="s">
        <v>24</v>
      </c>
      <c r="E259" s="1" t="s">
        <v>30</v>
      </c>
      <c r="F259" s="1" t="s">
        <v>20</v>
      </c>
      <c r="G259" s="1" t="s">
        <v>68</v>
      </c>
      <c r="H259" s="5">
        <v>3</v>
      </c>
      <c r="I259" s="3">
        <v>11723.36</v>
      </c>
      <c r="J259" s="3">
        <v>1582.23</v>
      </c>
      <c r="K259" s="1">
        <v>10</v>
      </c>
    </row>
    <row r="260" spans="1:11" x14ac:dyDescent="0.3">
      <c r="A260" s="1" t="s">
        <v>500</v>
      </c>
      <c r="B260" s="1" t="str">
        <f>TEXT(Table1[[#This Row],[Date]],"MMMM")</f>
        <v>October</v>
      </c>
      <c r="C260" s="1" t="s">
        <v>127</v>
      </c>
      <c r="D260" s="1" t="s">
        <v>58</v>
      </c>
      <c r="E260" s="1" t="s">
        <v>59</v>
      </c>
      <c r="F260" s="1" t="s">
        <v>20</v>
      </c>
      <c r="G260" s="1" t="s">
        <v>21</v>
      </c>
      <c r="H260" s="5">
        <v>5</v>
      </c>
      <c r="I260" s="3">
        <v>23593.75</v>
      </c>
      <c r="J260" s="3">
        <v>3453.14</v>
      </c>
      <c r="K260" s="1">
        <v>0</v>
      </c>
    </row>
    <row r="261" spans="1:11" x14ac:dyDescent="0.3">
      <c r="A261" s="1" t="s">
        <v>501</v>
      </c>
      <c r="B261" s="1" t="str">
        <f>TEXT(Table1[[#This Row],[Date]],"MMMM")</f>
        <v>June</v>
      </c>
      <c r="C261" s="1" t="s">
        <v>373</v>
      </c>
      <c r="D261" s="1" t="s">
        <v>67</v>
      </c>
      <c r="E261" s="1" t="s">
        <v>25</v>
      </c>
      <c r="F261" s="1" t="s">
        <v>37</v>
      </c>
      <c r="G261" s="1" t="s">
        <v>46</v>
      </c>
      <c r="H261" s="5">
        <v>7</v>
      </c>
      <c r="I261" s="3">
        <v>18223.97</v>
      </c>
      <c r="J261" s="3">
        <v>1089.6600000000001</v>
      </c>
      <c r="K261" s="1">
        <v>5</v>
      </c>
    </row>
    <row r="262" spans="1:11" x14ac:dyDescent="0.3">
      <c r="A262" s="1" t="s">
        <v>502</v>
      </c>
      <c r="B262" s="1" t="str">
        <f>TEXT(Table1[[#This Row],[Date]],"MMMM")</f>
        <v>April</v>
      </c>
      <c r="C262" s="1" t="s">
        <v>215</v>
      </c>
      <c r="D262" s="1" t="s">
        <v>91</v>
      </c>
      <c r="E262" s="1" t="s">
        <v>30</v>
      </c>
      <c r="F262" s="1" t="s">
        <v>20</v>
      </c>
      <c r="G262" s="1" t="s">
        <v>68</v>
      </c>
      <c r="H262" s="5">
        <v>3</v>
      </c>
      <c r="I262" s="3">
        <v>8262.14</v>
      </c>
      <c r="J262" s="3">
        <v>122.67</v>
      </c>
      <c r="K262" s="1">
        <v>25</v>
      </c>
    </row>
    <row r="263" spans="1:11" x14ac:dyDescent="0.3">
      <c r="A263" s="1" t="s">
        <v>503</v>
      </c>
      <c r="B263" s="1" t="str">
        <f>TEXT(Table1[[#This Row],[Date]],"MMMM")</f>
        <v>October</v>
      </c>
      <c r="C263" s="1" t="s">
        <v>504</v>
      </c>
      <c r="D263" s="1" t="s">
        <v>67</v>
      </c>
      <c r="E263" s="1" t="s">
        <v>49</v>
      </c>
      <c r="F263" s="1" t="s">
        <v>20</v>
      </c>
      <c r="G263" s="1" t="s">
        <v>21</v>
      </c>
      <c r="H263" s="5">
        <v>5</v>
      </c>
      <c r="I263" s="3">
        <v>1355.82</v>
      </c>
      <c r="J263" s="3">
        <v>-14.6</v>
      </c>
      <c r="K263" s="1">
        <v>15</v>
      </c>
    </row>
    <row r="264" spans="1:11" x14ac:dyDescent="0.3">
      <c r="A264" s="1" t="s">
        <v>505</v>
      </c>
      <c r="B264" s="1" t="str">
        <f>TEXT(Table1[[#This Row],[Date]],"MMMM")</f>
        <v>February</v>
      </c>
      <c r="C264" s="1" t="s">
        <v>506</v>
      </c>
      <c r="D264" s="1" t="s">
        <v>18</v>
      </c>
      <c r="E264" s="1" t="s">
        <v>49</v>
      </c>
      <c r="F264" s="1" t="s">
        <v>20</v>
      </c>
      <c r="G264" s="1" t="s">
        <v>42</v>
      </c>
      <c r="H264" s="5">
        <v>6</v>
      </c>
      <c r="I264" s="3">
        <v>20672.41</v>
      </c>
      <c r="J264" s="3">
        <v>-19.579999999999998</v>
      </c>
      <c r="K264" s="1">
        <v>30</v>
      </c>
    </row>
    <row r="265" spans="1:11" x14ac:dyDescent="0.3">
      <c r="A265" s="1" t="s">
        <v>507</v>
      </c>
      <c r="B265" s="1" t="str">
        <f>TEXT(Table1[[#This Row],[Date]],"MMMM")</f>
        <v>September</v>
      </c>
      <c r="C265" s="1" t="s">
        <v>87</v>
      </c>
      <c r="D265" s="1" t="s">
        <v>143</v>
      </c>
      <c r="E265" s="1" t="s">
        <v>59</v>
      </c>
      <c r="F265" s="1" t="s">
        <v>37</v>
      </c>
      <c r="G265" s="1" t="s">
        <v>38</v>
      </c>
      <c r="H265" s="5">
        <v>6</v>
      </c>
      <c r="I265" s="3">
        <v>22304.39</v>
      </c>
      <c r="J265" s="3">
        <v>3267.88</v>
      </c>
      <c r="K265" s="1">
        <v>0</v>
      </c>
    </row>
    <row r="266" spans="1:11" x14ac:dyDescent="0.3">
      <c r="A266" s="1" t="s">
        <v>508</v>
      </c>
      <c r="B266" s="1" t="str">
        <f>TEXT(Table1[[#This Row],[Date]],"MMMM")</f>
        <v>April</v>
      </c>
      <c r="C266" s="1" t="s">
        <v>482</v>
      </c>
      <c r="D266" s="1" t="s">
        <v>41</v>
      </c>
      <c r="E266" s="1" t="s">
        <v>19</v>
      </c>
      <c r="F266" s="1" t="s">
        <v>37</v>
      </c>
      <c r="G266" s="1" t="s">
        <v>46</v>
      </c>
      <c r="H266" s="5">
        <v>8</v>
      </c>
      <c r="I266" s="3">
        <v>24113.35</v>
      </c>
      <c r="J266" s="3">
        <v>344.62</v>
      </c>
      <c r="K266" s="1">
        <v>10</v>
      </c>
    </row>
    <row r="267" spans="1:11" x14ac:dyDescent="0.3">
      <c r="A267" s="1" t="s">
        <v>509</v>
      </c>
      <c r="B267" s="1" t="str">
        <f>TEXT(Table1[[#This Row],[Date]],"MMMM")</f>
        <v>August</v>
      </c>
      <c r="C267" s="1" t="s">
        <v>491</v>
      </c>
      <c r="D267" s="1" t="s">
        <v>95</v>
      </c>
      <c r="E267" s="1" t="s">
        <v>13</v>
      </c>
      <c r="F267" s="1" t="s">
        <v>14</v>
      </c>
      <c r="G267" s="1" t="s">
        <v>77</v>
      </c>
      <c r="H267" s="5">
        <v>4</v>
      </c>
      <c r="I267" s="3">
        <v>10869.73</v>
      </c>
      <c r="J267" s="3">
        <v>-1062.9100000000001</v>
      </c>
      <c r="K267" s="1">
        <v>30</v>
      </c>
    </row>
    <row r="268" spans="1:11" x14ac:dyDescent="0.3">
      <c r="A268" s="1" t="s">
        <v>510</v>
      </c>
      <c r="B268" s="1" t="str">
        <f>TEXT(Table1[[#This Row],[Date]],"MMMM")</f>
        <v>January</v>
      </c>
      <c r="C268" s="1" t="s">
        <v>511</v>
      </c>
      <c r="D268" s="1" t="s">
        <v>58</v>
      </c>
      <c r="E268" s="1" t="s">
        <v>30</v>
      </c>
      <c r="F268" s="1" t="s">
        <v>20</v>
      </c>
      <c r="G268" s="1" t="s">
        <v>68</v>
      </c>
      <c r="H268" s="5">
        <v>1</v>
      </c>
      <c r="I268" s="3">
        <v>2071.0300000000002</v>
      </c>
      <c r="J268" s="3">
        <v>74.930000000000007</v>
      </c>
      <c r="K268" s="1">
        <v>20</v>
      </c>
    </row>
    <row r="269" spans="1:11" x14ac:dyDescent="0.3">
      <c r="A269" s="1" t="s">
        <v>512</v>
      </c>
      <c r="B269" s="1" t="str">
        <f>TEXT(Table1[[#This Row],[Date]],"MMMM")</f>
        <v>August</v>
      </c>
      <c r="C269" s="1" t="s">
        <v>491</v>
      </c>
      <c r="D269" s="1" t="s">
        <v>88</v>
      </c>
      <c r="E269" s="1" t="s">
        <v>59</v>
      </c>
      <c r="F269" s="1" t="s">
        <v>14</v>
      </c>
      <c r="G269" s="1" t="s">
        <v>15</v>
      </c>
      <c r="H269" s="5">
        <v>3</v>
      </c>
      <c r="I269" s="3">
        <v>5472.39</v>
      </c>
      <c r="J269" s="3">
        <v>517.29999999999995</v>
      </c>
      <c r="K269" s="1">
        <v>30</v>
      </c>
    </row>
    <row r="270" spans="1:11" x14ac:dyDescent="0.3">
      <c r="A270" s="1" t="s">
        <v>513</v>
      </c>
      <c r="B270" s="1" t="str">
        <f>TEXT(Table1[[#This Row],[Date]],"MMMM")</f>
        <v>July</v>
      </c>
      <c r="C270" s="1" t="s">
        <v>254</v>
      </c>
      <c r="D270" s="1" t="s">
        <v>24</v>
      </c>
      <c r="E270" s="1" t="s">
        <v>30</v>
      </c>
      <c r="F270" s="1" t="s">
        <v>14</v>
      </c>
      <c r="G270" s="1" t="s">
        <v>15</v>
      </c>
      <c r="H270" s="5">
        <v>5</v>
      </c>
      <c r="I270" s="3">
        <v>11022.31</v>
      </c>
      <c r="J270" s="3">
        <v>631.79</v>
      </c>
      <c r="K270" s="1">
        <v>10</v>
      </c>
    </row>
    <row r="271" spans="1:11" x14ac:dyDescent="0.3">
      <c r="A271" s="1" t="s">
        <v>514</v>
      </c>
      <c r="B271" s="1" t="str">
        <f>TEXT(Table1[[#This Row],[Date]],"MMMM")</f>
        <v>October</v>
      </c>
      <c r="C271" s="1" t="s">
        <v>515</v>
      </c>
      <c r="D271" s="1" t="s">
        <v>12</v>
      </c>
      <c r="E271" s="1" t="s">
        <v>63</v>
      </c>
      <c r="F271" s="1" t="s">
        <v>14</v>
      </c>
      <c r="G271" s="1" t="s">
        <v>96</v>
      </c>
      <c r="H271" s="5">
        <v>1</v>
      </c>
      <c r="I271" s="3">
        <v>1557.46</v>
      </c>
      <c r="J271" s="3">
        <v>-18.36</v>
      </c>
      <c r="K271" s="1">
        <v>30</v>
      </c>
    </row>
    <row r="272" spans="1:11" x14ac:dyDescent="0.3">
      <c r="A272" s="1" t="s">
        <v>516</v>
      </c>
      <c r="B272" s="1" t="str">
        <f>TEXT(Table1[[#This Row],[Date]],"MMMM")</f>
        <v>August</v>
      </c>
      <c r="C272" s="1" t="s">
        <v>517</v>
      </c>
      <c r="D272" s="1" t="s">
        <v>24</v>
      </c>
      <c r="E272" s="1" t="s">
        <v>59</v>
      </c>
      <c r="F272" s="1" t="s">
        <v>20</v>
      </c>
      <c r="G272" s="1" t="s">
        <v>42</v>
      </c>
      <c r="H272" s="5">
        <v>5</v>
      </c>
      <c r="I272" s="3">
        <v>5074.57</v>
      </c>
      <c r="J272" s="3">
        <v>-92.49</v>
      </c>
      <c r="K272" s="1">
        <v>25</v>
      </c>
    </row>
    <row r="273" spans="1:11" x14ac:dyDescent="0.3">
      <c r="A273" s="1" t="s">
        <v>518</v>
      </c>
      <c r="B273" s="1" t="str">
        <f>TEXT(Table1[[#This Row],[Date]],"MMMM")</f>
        <v>March</v>
      </c>
      <c r="C273" s="1" t="s">
        <v>496</v>
      </c>
      <c r="D273" s="1" t="s">
        <v>71</v>
      </c>
      <c r="E273" s="1" t="s">
        <v>59</v>
      </c>
      <c r="F273" s="1" t="s">
        <v>20</v>
      </c>
      <c r="G273" s="1" t="s">
        <v>26</v>
      </c>
      <c r="H273" s="5">
        <v>5</v>
      </c>
      <c r="I273" s="3">
        <v>14833.58</v>
      </c>
      <c r="J273" s="3">
        <v>482</v>
      </c>
      <c r="K273" s="1">
        <v>20</v>
      </c>
    </row>
    <row r="274" spans="1:11" x14ac:dyDescent="0.3">
      <c r="A274" s="1" t="s">
        <v>519</v>
      </c>
      <c r="B274" s="1" t="str">
        <f>TEXT(Table1[[#This Row],[Date]],"MMMM")</f>
        <v>October</v>
      </c>
      <c r="C274" s="1" t="s">
        <v>359</v>
      </c>
      <c r="D274" s="1" t="s">
        <v>36</v>
      </c>
      <c r="E274" s="1" t="s">
        <v>80</v>
      </c>
      <c r="F274" s="1" t="s">
        <v>37</v>
      </c>
      <c r="G274" s="1" t="s">
        <v>64</v>
      </c>
      <c r="H274" s="5">
        <v>8</v>
      </c>
      <c r="I274" s="3">
        <v>10702.92</v>
      </c>
      <c r="J274" s="3">
        <v>533</v>
      </c>
      <c r="K274" s="1">
        <v>10</v>
      </c>
    </row>
    <row r="275" spans="1:11" x14ac:dyDescent="0.3">
      <c r="A275" s="1" t="s">
        <v>520</v>
      </c>
      <c r="B275" s="1" t="str">
        <f>TEXT(Table1[[#This Row],[Date]],"MMMM")</f>
        <v>May</v>
      </c>
      <c r="C275" s="1" t="s">
        <v>521</v>
      </c>
      <c r="D275" s="1" t="s">
        <v>71</v>
      </c>
      <c r="E275" s="1" t="s">
        <v>13</v>
      </c>
      <c r="F275" s="1" t="s">
        <v>20</v>
      </c>
      <c r="G275" s="1" t="s">
        <v>114</v>
      </c>
      <c r="H275" s="5">
        <v>2</v>
      </c>
      <c r="I275" s="3">
        <v>1233.6500000000001</v>
      </c>
      <c r="J275" s="3">
        <v>182.18</v>
      </c>
      <c r="K275" s="1">
        <v>10</v>
      </c>
    </row>
    <row r="276" spans="1:11" x14ac:dyDescent="0.3">
      <c r="A276" s="1" t="s">
        <v>522</v>
      </c>
      <c r="B276" s="1" t="str">
        <f>TEXT(Table1[[#This Row],[Date]],"MMMM")</f>
        <v>November</v>
      </c>
      <c r="C276" s="1" t="s">
        <v>523</v>
      </c>
      <c r="D276" s="1" t="s">
        <v>111</v>
      </c>
      <c r="E276" s="1" t="s">
        <v>25</v>
      </c>
      <c r="F276" s="1" t="s">
        <v>20</v>
      </c>
      <c r="G276" s="1" t="s">
        <v>21</v>
      </c>
      <c r="H276" s="5">
        <v>8</v>
      </c>
      <c r="I276" s="3">
        <v>27434.6</v>
      </c>
      <c r="J276" s="3">
        <v>3887.2</v>
      </c>
      <c r="K276" s="1">
        <v>0</v>
      </c>
    </row>
    <row r="277" spans="1:11" x14ac:dyDescent="0.3">
      <c r="A277" s="1" t="s">
        <v>524</v>
      </c>
      <c r="B277" s="1" t="str">
        <f>TEXT(Table1[[#This Row],[Date]],"MMMM")</f>
        <v>August</v>
      </c>
      <c r="C277" s="1" t="s">
        <v>525</v>
      </c>
      <c r="D277" s="1" t="s">
        <v>71</v>
      </c>
      <c r="E277" s="1" t="s">
        <v>13</v>
      </c>
      <c r="F277" s="1" t="s">
        <v>20</v>
      </c>
      <c r="G277" s="1" t="s">
        <v>68</v>
      </c>
      <c r="H277" s="5">
        <v>4</v>
      </c>
      <c r="I277" s="3">
        <v>10516.46</v>
      </c>
      <c r="J277" s="3">
        <v>1154.6400000000001</v>
      </c>
      <c r="K277" s="1">
        <v>10</v>
      </c>
    </row>
    <row r="278" spans="1:11" x14ac:dyDescent="0.3">
      <c r="A278" s="1" t="s">
        <v>526</v>
      </c>
      <c r="B278" s="1" t="str">
        <f>TEXT(Table1[[#This Row],[Date]],"MMMM")</f>
        <v>January</v>
      </c>
      <c r="C278" s="1" t="s">
        <v>527</v>
      </c>
      <c r="D278" s="1" t="s">
        <v>29</v>
      </c>
      <c r="E278" s="1" t="s">
        <v>25</v>
      </c>
      <c r="F278" s="1" t="s">
        <v>20</v>
      </c>
      <c r="G278" s="1" t="s">
        <v>114</v>
      </c>
      <c r="H278" s="5">
        <v>3</v>
      </c>
      <c r="I278" s="3">
        <v>10835.27</v>
      </c>
      <c r="J278" s="3">
        <v>-415.47</v>
      </c>
      <c r="K278" s="1">
        <v>20</v>
      </c>
    </row>
    <row r="279" spans="1:11" x14ac:dyDescent="0.3">
      <c r="A279" s="1" t="s">
        <v>528</v>
      </c>
      <c r="B279" s="1" t="str">
        <f>TEXT(Table1[[#This Row],[Date]],"MMMM")</f>
        <v>April</v>
      </c>
      <c r="C279" s="1" t="s">
        <v>529</v>
      </c>
      <c r="D279" s="1" t="s">
        <v>58</v>
      </c>
      <c r="E279" s="1" t="s">
        <v>49</v>
      </c>
      <c r="F279" s="1" t="s">
        <v>14</v>
      </c>
      <c r="G279" s="1" t="s">
        <v>33</v>
      </c>
      <c r="H279" s="5">
        <v>2</v>
      </c>
      <c r="I279" s="3">
        <v>957.52</v>
      </c>
      <c r="J279" s="3">
        <v>49.13</v>
      </c>
      <c r="K279" s="1">
        <v>25</v>
      </c>
    </row>
    <row r="280" spans="1:11" x14ac:dyDescent="0.3">
      <c r="A280" s="1" t="s">
        <v>530</v>
      </c>
      <c r="B280" s="1" t="str">
        <f>TEXT(Table1[[#This Row],[Date]],"MMMM")</f>
        <v>July</v>
      </c>
      <c r="C280" s="1" t="s">
        <v>101</v>
      </c>
      <c r="D280" s="1" t="s">
        <v>36</v>
      </c>
      <c r="E280" s="1" t="s">
        <v>59</v>
      </c>
      <c r="F280" s="1" t="s">
        <v>14</v>
      </c>
      <c r="G280" s="1" t="s">
        <v>77</v>
      </c>
      <c r="H280" s="5">
        <v>1</v>
      </c>
      <c r="I280" s="3">
        <v>3267.41</v>
      </c>
      <c r="J280" s="3">
        <v>-175.86</v>
      </c>
      <c r="K280" s="1">
        <v>25</v>
      </c>
    </row>
    <row r="281" spans="1:11" x14ac:dyDescent="0.3">
      <c r="A281" s="1" t="s">
        <v>531</v>
      </c>
      <c r="B281" s="1" t="str">
        <f>TEXT(Table1[[#This Row],[Date]],"MMMM")</f>
        <v>January</v>
      </c>
      <c r="C281" s="1" t="s">
        <v>532</v>
      </c>
      <c r="D281" s="1" t="s">
        <v>91</v>
      </c>
      <c r="E281" s="1" t="s">
        <v>25</v>
      </c>
      <c r="F281" s="1" t="s">
        <v>20</v>
      </c>
      <c r="G281" s="1" t="s">
        <v>114</v>
      </c>
      <c r="H281" s="5">
        <v>2</v>
      </c>
      <c r="I281" s="3">
        <v>1038.3499999999999</v>
      </c>
      <c r="J281" s="3">
        <v>93.55</v>
      </c>
      <c r="K281" s="1">
        <v>10</v>
      </c>
    </row>
    <row r="282" spans="1:11" x14ac:dyDescent="0.3">
      <c r="A282" s="1" t="s">
        <v>533</v>
      </c>
      <c r="B282" s="1" t="str">
        <f>TEXT(Table1[[#This Row],[Date]],"MMMM")</f>
        <v>July</v>
      </c>
      <c r="C282" s="1" t="s">
        <v>340</v>
      </c>
      <c r="D282" s="1" t="s">
        <v>45</v>
      </c>
      <c r="E282" s="1" t="s">
        <v>63</v>
      </c>
      <c r="F282" s="1" t="s">
        <v>20</v>
      </c>
      <c r="G282" s="1" t="s">
        <v>68</v>
      </c>
      <c r="H282" s="5">
        <v>7</v>
      </c>
      <c r="I282" s="3">
        <v>16400.14</v>
      </c>
      <c r="J282" s="3">
        <v>3523.97</v>
      </c>
      <c r="K282" s="1">
        <v>5</v>
      </c>
    </row>
    <row r="283" spans="1:11" x14ac:dyDescent="0.3">
      <c r="A283" s="1" t="s">
        <v>534</v>
      </c>
      <c r="B283" s="1" t="str">
        <f>TEXT(Table1[[#This Row],[Date]],"MMMM")</f>
        <v>June</v>
      </c>
      <c r="C283" s="1" t="s">
        <v>76</v>
      </c>
      <c r="D283" s="1" t="s">
        <v>111</v>
      </c>
      <c r="E283" s="1" t="s">
        <v>19</v>
      </c>
      <c r="F283" s="1" t="s">
        <v>20</v>
      </c>
      <c r="G283" s="1" t="s">
        <v>26</v>
      </c>
      <c r="H283" s="5">
        <v>6</v>
      </c>
      <c r="I283" s="3">
        <v>9268.1200000000008</v>
      </c>
      <c r="J283" s="3">
        <v>264.39</v>
      </c>
      <c r="K283" s="1">
        <v>25</v>
      </c>
    </row>
    <row r="284" spans="1:11" x14ac:dyDescent="0.3">
      <c r="A284" s="1" t="s">
        <v>535</v>
      </c>
      <c r="B284" s="1" t="str">
        <f>TEXT(Table1[[#This Row],[Date]],"MMMM")</f>
        <v>December</v>
      </c>
      <c r="C284" s="1" t="s">
        <v>536</v>
      </c>
      <c r="D284" s="1" t="s">
        <v>95</v>
      </c>
      <c r="E284" s="1" t="s">
        <v>25</v>
      </c>
      <c r="F284" s="1" t="s">
        <v>37</v>
      </c>
      <c r="G284" s="1" t="s">
        <v>38</v>
      </c>
      <c r="H284" s="5">
        <v>2</v>
      </c>
      <c r="I284" s="3">
        <v>2402.02</v>
      </c>
      <c r="J284" s="3">
        <v>51.06</v>
      </c>
      <c r="K284" s="1">
        <v>25</v>
      </c>
    </row>
    <row r="285" spans="1:11" x14ac:dyDescent="0.3">
      <c r="A285" s="1" t="s">
        <v>537</v>
      </c>
      <c r="B285" s="1" t="str">
        <f>TEXT(Table1[[#This Row],[Date]],"MMMM")</f>
        <v>January</v>
      </c>
      <c r="C285" s="1" t="s">
        <v>538</v>
      </c>
      <c r="D285" s="1" t="s">
        <v>95</v>
      </c>
      <c r="E285" s="1" t="s">
        <v>63</v>
      </c>
      <c r="F285" s="1" t="s">
        <v>14</v>
      </c>
      <c r="G285" s="1" t="s">
        <v>96</v>
      </c>
      <c r="H285" s="5">
        <v>7</v>
      </c>
      <c r="I285" s="3">
        <v>6294.89</v>
      </c>
      <c r="J285" s="3">
        <v>359.33</v>
      </c>
      <c r="K285" s="1">
        <v>10</v>
      </c>
    </row>
    <row r="286" spans="1:11" x14ac:dyDescent="0.3">
      <c r="A286" s="1" t="s">
        <v>539</v>
      </c>
      <c r="B286" s="1" t="str">
        <f>TEXT(Table1[[#This Row],[Date]],"MMMM")</f>
        <v>October</v>
      </c>
      <c r="C286" s="1" t="s">
        <v>540</v>
      </c>
      <c r="D286" s="1" t="s">
        <v>12</v>
      </c>
      <c r="E286" s="1" t="s">
        <v>59</v>
      </c>
      <c r="F286" s="1" t="s">
        <v>20</v>
      </c>
      <c r="G286" s="1" t="s">
        <v>68</v>
      </c>
      <c r="H286" s="5">
        <v>7</v>
      </c>
      <c r="I286" s="3">
        <v>31234.39</v>
      </c>
      <c r="J286" s="3">
        <v>2278.5100000000002</v>
      </c>
      <c r="K286" s="1">
        <v>0</v>
      </c>
    </row>
    <row r="287" spans="1:11" x14ac:dyDescent="0.3">
      <c r="A287" s="1" t="s">
        <v>541</v>
      </c>
      <c r="B287" s="1" t="str">
        <f>TEXT(Table1[[#This Row],[Date]],"MMMM")</f>
        <v>January</v>
      </c>
      <c r="C287" s="1" t="s">
        <v>378</v>
      </c>
      <c r="D287" s="1" t="s">
        <v>12</v>
      </c>
      <c r="E287" s="1" t="s">
        <v>13</v>
      </c>
      <c r="F287" s="1" t="s">
        <v>37</v>
      </c>
      <c r="G287" s="1" t="s">
        <v>64</v>
      </c>
      <c r="H287" s="5">
        <v>7</v>
      </c>
      <c r="I287" s="3">
        <v>26601.97</v>
      </c>
      <c r="J287" s="3">
        <v>3345.24</v>
      </c>
      <c r="K287" s="1">
        <v>0</v>
      </c>
    </row>
    <row r="288" spans="1:11" x14ac:dyDescent="0.3">
      <c r="A288" s="1" t="s">
        <v>542</v>
      </c>
      <c r="B288" s="1" t="str">
        <f>TEXT(Table1[[#This Row],[Date]],"MMMM")</f>
        <v>December</v>
      </c>
      <c r="C288" s="1" t="s">
        <v>107</v>
      </c>
      <c r="D288" s="1" t="s">
        <v>29</v>
      </c>
      <c r="E288" s="1" t="s">
        <v>30</v>
      </c>
      <c r="F288" s="1" t="s">
        <v>20</v>
      </c>
      <c r="G288" s="1" t="s">
        <v>68</v>
      </c>
      <c r="H288" s="5">
        <v>7</v>
      </c>
      <c r="I288" s="3">
        <v>1384.23</v>
      </c>
      <c r="J288" s="3">
        <v>101.01</v>
      </c>
      <c r="K288" s="1">
        <v>10</v>
      </c>
    </row>
    <row r="289" spans="1:11" x14ac:dyDescent="0.3">
      <c r="A289" s="1" t="s">
        <v>543</v>
      </c>
      <c r="B289" s="1" t="str">
        <f>TEXT(Table1[[#This Row],[Date]],"MMMM")</f>
        <v>September</v>
      </c>
      <c r="C289" s="1" t="s">
        <v>163</v>
      </c>
      <c r="D289" s="1" t="s">
        <v>41</v>
      </c>
      <c r="E289" s="1" t="s">
        <v>30</v>
      </c>
      <c r="F289" s="1" t="s">
        <v>37</v>
      </c>
      <c r="G289" s="1" t="s">
        <v>83</v>
      </c>
      <c r="H289" s="5">
        <v>5</v>
      </c>
      <c r="I289" s="3">
        <v>11561.46</v>
      </c>
      <c r="J289" s="3">
        <v>1871.63</v>
      </c>
      <c r="K289" s="1">
        <v>0</v>
      </c>
    </row>
    <row r="290" spans="1:11" x14ac:dyDescent="0.3">
      <c r="A290" s="1" t="s">
        <v>544</v>
      </c>
      <c r="B290" s="1" t="str">
        <f>TEXT(Table1[[#This Row],[Date]],"MMMM")</f>
        <v>January</v>
      </c>
      <c r="C290" s="1" t="s">
        <v>545</v>
      </c>
      <c r="D290" s="1" t="s">
        <v>12</v>
      </c>
      <c r="E290" s="1" t="s">
        <v>25</v>
      </c>
      <c r="F290" s="1" t="s">
        <v>20</v>
      </c>
      <c r="G290" s="1" t="s">
        <v>68</v>
      </c>
      <c r="H290" s="5">
        <v>8</v>
      </c>
      <c r="I290" s="3">
        <v>4210.2299999999996</v>
      </c>
      <c r="J290" s="3">
        <v>500.62</v>
      </c>
      <c r="K290" s="1">
        <v>25</v>
      </c>
    </row>
    <row r="291" spans="1:11" x14ac:dyDescent="0.3">
      <c r="A291" s="1" t="s">
        <v>546</v>
      </c>
      <c r="B291" s="1" t="str">
        <f>TEXT(Table1[[#This Row],[Date]],"MMMM")</f>
        <v>November</v>
      </c>
      <c r="C291" s="1" t="s">
        <v>547</v>
      </c>
      <c r="D291" s="1" t="s">
        <v>45</v>
      </c>
      <c r="E291" s="1" t="s">
        <v>19</v>
      </c>
      <c r="F291" s="1" t="s">
        <v>14</v>
      </c>
      <c r="G291" s="1" t="s">
        <v>139</v>
      </c>
      <c r="H291" s="5">
        <v>7</v>
      </c>
      <c r="I291" s="3">
        <v>19385.54</v>
      </c>
      <c r="J291" s="3">
        <v>-1334.94</v>
      </c>
      <c r="K291" s="1">
        <v>30</v>
      </c>
    </row>
    <row r="292" spans="1:11" x14ac:dyDescent="0.3">
      <c r="A292" s="1" t="s">
        <v>548</v>
      </c>
      <c r="B292" s="1" t="str">
        <f>TEXT(Table1[[#This Row],[Date]],"MMMM")</f>
        <v>July</v>
      </c>
      <c r="C292" s="1" t="s">
        <v>549</v>
      </c>
      <c r="D292" s="1" t="s">
        <v>45</v>
      </c>
      <c r="E292" s="1" t="s">
        <v>63</v>
      </c>
      <c r="F292" s="1" t="s">
        <v>37</v>
      </c>
      <c r="G292" s="1" t="s">
        <v>46</v>
      </c>
      <c r="H292" s="5">
        <v>4</v>
      </c>
      <c r="I292" s="3">
        <v>8795.2099999999991</v>
      </c>
      <c r="J292" s="3">
        <v>-454.94</v>
      </c>
      <c r="K292" s="1">
        <v>25</v>
      </c>
    </row>
    <row r="293" spans="1:11" x14ac:dyDescent="0.3">
      <c r="A293" s="1" t="s">
        <v>550</v>
      </c>
      <c r="B293" s="1" t="str">
        <f>TEXT(Table1[[#This Row],[Date]],"MMMM")</f>
        <v>December</v>
      </c>
      <c r="C293" s="1" t="s">
        <v>489</v>
      </c>
      <c r="D293" s="1" t="s">
        <v>71</v>
      </c>
      <c r="E293" s="1" t="s">
        <v>49</v>
      </c>
      <c r="F293" s="1" t="s">
        <v>20</v>
      </c>
      <c r="G293" s="1" t="s">
        <v>21</v>
      </c>
      <c r="H293" s="5">
        <v>3</v>
      </c>
      <c r="I293" s="3">
        <v>6947.7</v>
      </c>
      <c r="J293" s="3">
        <v>1185.03</v>
      </c>
      <c r="K293" s="1">
        <v>15</v>
      </c>
    </row>
    <row r="294" spans="1:11" x14ac:dyDescent="0.3">
      <c r="A294" s="1" t="s">
        <v>551</v>
      </c>
      <c r="B294" s="1" t="str">
        <f>TEXT(Table1[[#This Row],[Date]],"MMMM")</f>
        <v>July</v>
      </c>
      <c r="C294" s="1" t="s">
        <v>552</v>
      </c>
      <c r="D294" s="1" t="s">
        <v>67</v>
      </c>
      <c r="E294" s="1" t="s">
        <v>63</v>
      </c>
      <c r="F294" s="1" t="s">
        <v>37</v>
      </c>
      <c r="G294" s="1" t="s">
        <v>38</v>
      </c>
      <c r="H294" s="5">
        <v>8</v>
      </c>
      <c r="I294" s="3">
        <v>23059.69</v>
      </c>
      <c r="J294" s="3">
        <v>-1205.99</v>
      </c>
      <c r="K294" s="1">
        <v>30</v>
      </c>
    </row>
    <row r="295" spans="1:11" x14ac:dyDescent="0.3">
      <c r="A295" s="1" t="s">
        <v>553</v>
      </c>
      <c r="B295" s="1" t="str">
        <f>TEXT(Table1[[#This Row],[Date]],"MMMM")</f>
        <v>February</v>
      </c>
      <c r="C295" s="1" t="s">
        <v>554</v>
      </c>
      <c r="D295" s="1" t="s">
        <v>111</v>
      </c>
      <c r="E295" s="1" t="s">
        <v>13</v>
      </c>
      <c r="F295" s="1" t="s">
        <v>14</v>
      </c>
      <c r="G295" s="1" t="s">
        <v>15</v>
      </c>
      <c r="H295" s="5">
        <v>7</v>
      </c>
      <c r="I295" s="3">
        <v>6669.51</v>
      </c>
      <c r="J295" s="3">
        <v>-160.16</v>
      </c>
      <c r="K295" s="1">
        <v>30</v>
      </c>
    </row>
    <row r="296" spans="1:11" x14ac:dyDescent="0.3">
      <c r="A296" s="1" t="s">
        <v>555</v>
      </c>
      <c r="B296" s="1" t="str">
        <f>TEXT(Table1[[#This Row],[Date]],"MMMM")</f>
        <v>April</v>
      </c>
      <c r="C296" s="1" t="s">
        <v>556</v>
      </c>
      <c r="D296" s="1" t="s">
        <v>45</v>
      </c>
      <c r="E296" s="1" t="s">
        <v>19</v>
      </c>
      <c r="F296" s="1" t="s">
        <v>37</v>
      </c>
      <c r="G296" s="1" t="s">
        <v>55</v>
      </c>
      <c r="H296" s="5">
        <v>4</v>
      </c>
      <c r="I296" s="3">
        <v>5016.42</v>
      </c>
      <c r="J296" s="3">
        <v>259.38</v>
      </c>
      <c r="K296" s="1">
        <v>15</v>
      </c>
    </row>
    <row r="297" spans="1:11" x14ac:dyDescent="0.3">
      <c r="A297" s="1" t="s">
        <v>557</v>
      </c>
      <c r="B297" s="1" t="str">
        <f>TEXT(Table1[[#This Row],[Date]],"MMMM")</f>
        <v>February</v>
      </c>
      <c r="C297" s="1" t="s">
        <v>383</v>
      </c>
      <c r="D297" s="1" t="s">
        <v>91</v>
      </c>
      <c r="E297" s="1" t="s">
        <v>49</v>
      </c>
      <c r="F297" s="1" t="s">
        <v>14</v>
      </c>
      <c r="G297" s="1" t="s">
        <v>33</v>
      </c>
      <c r="H297" s="5">
        <v>8</v>
      </c>
      <c r="I297" s="3">
        <v>32170.9</v>
      </c>
      <c r="J297" s="3">
        <v>1803.48</v>
      </c>
      <c r="K297" s="1">
        <v>0</v>
      </c>
    </row>
    <row r="298" spans="1:11" x14ac:dyDescent="0.3">
      <c r="A298" s="1" t="s">
        <v>558</v>
      </c>
      <c r="B298" s="1" t="str">
        <f>TEXT(Table1[[#This Row],[Date]],"MMMM")</f>
        <v>October</v>
      </c>
      <c r="C298" s="1" t="s">
        <v>559</v>
      </c>
      <c r="D298" s="1" t="s">
        <v>45</v>
      </c>
      <c r="E298" s="1" t="s">
        <v>30</v>
      </c>
      <c r="F298" s="1" t="s">
        <v>20</v>
      </c>
      <c r="G298" s="1" t="s">
        <v>42</v>
      </c>
      <c r="H298" s="5">
        <v>4</v>
      </c>
      <c r="I298" s="3">
        <v>4639.04</v>
      </c>
      <c r="J298" s="3">
        <v>579.22</v>
      </c>
      <c r="K298" s="1">
        <v>20</v>
      </c>
    </row>
    <row r="299" spans="1:11" x14ac:dyDescent="0.3">
      <c r="A299" s="1" t="s">
        <v>560</v>
      </c>
      <c r="B299" s="1" t="str">
        <f>TEXT(Table1[[#This Row],[Date]],"MMMM")</f>
        <v>September</v>
      </c>
      <c r="C299" s="1" t="s">
        <v>73</v>
      </c>
      <c r="D299" s="1" t="s">
        <v>58</v>
      </c>
      <c r="E299" s="1" t="s">
        <v>49</v>
      </c>
      <c r="F299" s="1" t="s">
        <v>37</v>
      </c>
      <c r="G299" s="1" t="s">
        <v>55</v>
      </c>
      <c r="H299" s="5">
        <v>3</v>
      </c>
      <c r="I299" s="3">
        <v>10085.76</v>
      </c>
      <c r="J299" s="3">
        <v>-181.56</v>
      </c>
      <c r="K299" s="1">
        <v>30</v>
      </c>
    </row>
    <row r="300" spans="1:11" x14ac:dyDescent="0.3">
      <c r="A300" s="1" t="s">
        <v>561</v>
      </c>
      <c r="B300" s="1" t="str">
        <f>TEXT(Table1[[#This Row],[Date]],"MMMM")</f>
        <v>July</v>
      </c>
      <c r="C300" s="1" t="s">
        <v>562</v>
      </c>
      <c r="D300" s="1" t="s">
        <v>41</v>
      </c>
      <c r="E300" s="1" t="s">
        <v>63</v>
      </c>
      <c r="F300" s="1" t="s">
        <v>14</v>
      </c>
      <c r="G300" s="1" t="s">
        <v>15</v>
      </c>
      <c r="H300" s="5">
        <v>7</v>
      </c>
      <c r="I300" s="3">
        <v>5473.33</v>
      </c>
      <c r="J300" s="3">
        <v>574.84</v>
      </c>
      <c r="K300" s="1">
        <v>15</v>
      </c>
    </row>
    <row r="301" spans="1:11" x14ac:dyDescent="0.3">
      <c r="A301" s="1" t="s">
        <v>563</v>
      </c>
      <c r="B301" s="1" t="str">
        <f>TEXT(Table1[[#This Row],[Date]],"MMMM")</f>
        <v>February</v>
      </c>
      <c r="C301" s="1" t="s">
        <v>564</v>
      </c>
      <c r="D301" s="1" t="s">
        <v>41</v>
      </c>
      <c r="E301" s="1" t="s">
        <v>25</v>
      </c>
      <c r="F301" s="1" t="s">
        <v>37</v>
      </c>
      <c r="G301" s="1" t="s">
        <v>46</v>
      </c>
      <c r="H301" s="5">
        <v>6</v>
      </c>
      <c r="I301" s="3">
        <v>16209.35</v>
      </c>
      <c r="J301" s="3">
        <v>494.18</v>
      </c>
      <c r="K301" s="1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54C8-1A24-4D35-9937-0E139784C152}">
  <dimension ref="B5:I31"/>
  <sheetViews>
    <sheetView tabSelected="1" topLeftCell="A7" zoomScale="55" zoomScaleNormal="55" workbookViewId="0">
      <selection activeCell="N67" sqref="N67"/>
    </sheetView>
  </sheetViews>
  <sheetFormatPr defaultRowHeight="14.4" x14ac:dyDescent="0.3"/>
  <cols>
    <col min="1" max="1" width="17.5546875" bestFit="1" customWidth="1"/>
    <col min="2" max="2" width="22.44140625" bestFit="1" customWidth="1"/>
    <col min="3" max="3" width="14.109375" bestFit="1" customWidth="1"/>
    <col min="4" max="4" width="14.6640625" bestFit="1" customWidth="1"/>
    <col min="5" max="5" width="23.33203125" bestFit="1" customWidth="1"/>
    <col min="6" max="6" width="14.109375" bestFit="1" customWidth="1"/>
    <col min="7" max="7" width="13.109375" bestFit="1" customWidth="1"/>
    <col min="8" max="8" width="15.33203125" bestFit="1" customWidth="1"/>
    <col min="9" max="9" width="14.109375" bestFit="1" customWidth="1"/>
    <col min="11" max="11" width="12.5546875" bestFit="1" customWidth="1"/>
    <col min="12" max="12" width="14.109375" bestFit="1" customWidth="1"/>
    <col min="14" max="14" width="13.109375" bestFit="1" customWidth="1"/>
    <col min="15" max="15" width="14.109375" bestFit="1" customWidth="1"/>
  </cols>
  <sheetData>
    <row r="5" spans="2:9" x14ac:dyDescent="0.3">
      <c r="B5" s="10" t="s">
        <v>582</v>
      </c>
      <c r="C5" s="10"/>
      <c r="E5" s="10" t="s">
        <v>583</v>
      </c>
      <c r="F5" s="10"/>
      <c r="H5" s="10" t="s">
        <v>585</v>
      </c>
      <c r="I5" s="10"/>
    </row>
    <row r="6" spans="2:9" x14ac:dyDescent="0.3">
      <c r="B6" s="7" t="s">
        <v>565</v>
      </c>
      <c r="C6" t="s">
        <v>566</v>
      </c>
      <c r="E6" s="7" t="s">
        <v>583</v>
      </c>
      <c r="F6" t="s">
        <v>566</v>
      </c>
      <c r="H6" s="7" t="s">
        <v>589</v>
      </c>
      <c r="I6" t="s">
        <v>566</v>
      </c>
    </row>
    <row r="7" spans="2:9" x14ac:dyDescent="0.3">
      <c r="B7" s="8" t="s">
        <v>569</v>
      </c>
      <c r="C7" s="6">
        <v>197533.35000000006</v>
      </c>
      <c r="E7" s="8" t="s">
        <v>38</v>
      </c>
      <c r="F7" s="6">
        <v>363909.09000000008</v>
      </c>
      <c r="H7" s="8" t="s">
        <v>25</v>
      </c>
      <c r="I7" s="6">
        <v>496464.23999999987</v>
      </c>
    </row>
    <row r="8" spans="2:9" x14ac:dyDescent="0.3">
      <c r="B8" s="8" t="s">
        <v>570</v>
      </c>
      <c r="C8" s="6">
        <v>290636.89</v>
      </c>
      <c r="E8" s="8" t="s">
        <v>68</v>
      </c>
      <c r="F8" s="6">
        <v>281224.89999999997</v>
      </c>
      <c r="H8" s="8" t="s">
        <v>13</v>
      </c>
      <c r="I8" s="6">
        <v>452258.28</v>
      </c>
    </row>
    <row r="9" spans="2:9" x14ac:dyDescent="0.3">
      <c r="B9" s="8" t="s">
        <v>571</v>
      </c>
      <c r="C9" s="6">
        <v>306765.15000000002</v>
      </c>
      <c r="E9" s="8" t="s">
        <v>55</v>
      </c>
      <c r="F9" s="6">
        <v>247824.71000000005</v>
      </c>
      <c r="H9" s="8" t="s">
        <v>30</v>
      </c>
      <c r="I9" s="6">
        <v>434246.61</v>
      </c>
    </row>
    <row r="10" spans="2:9" x14ac:dyDescent="0.3">
      <c r="B10" s="8" t="s">
        <v>572</v>
      </c>
      <c r="C10" s="6">
        <v>196925.49000000002</v>
      </c>
      <c r="E10" s="8" t="s">
        <v>21</v>
      </c>
      <c r="F10" s="6">
        <v>242019.73000000004</v>
      </c>
      <c r="H10" s="8" t="s">
        <v>63</v>
      </c>
      <c r="I10" s="6">
        <v>418057.46000000014</v>
      </c>
    </row>
    <row r="11" spans="2:9" x14ac:dyDescent="0.3">
      <c r="B11" s="8" t="s">
        <v>573</v>
      </c>
      <c r="C11" s="6">
        <v>249256.79999999996</v>
      </c>
      <c r="E11" s="8" t="s">
        <v>139</v>
      </c>
      <c r="F11" s="6">
        <v>231490.29</v>
      </c>
      <c r="H11" s="8" t="s">
        <v>49</v>
      </c>
      <c r="I11" s="6">
        <v>394661.58</v>
      </c>
    </row>
    <row r="12" spans="2:9" x14ac:dyDescent="0.3">
      <c r="B12" s="8" t="s">
        <v>574</v>
      </c>
      <c r="C12" s="6">
        <v>322671.13</v>
      </c>
      <c r="E12" s="8" t="s">
        <v>46</v>
      </c>
      <c r="F12" s="6">
        <v>220947.91</v>
      </c>
      <c r="H12" s="8" t="s">
        <v>59</v>
      </c>
      <c r="I12" s="6">
        <v>333487.39</v>
      </c>
    </row>
    <row r="13" spans="2:9" x14ac:dyDescent="0.3">
      <c r="B13" s="8" t="s">
        <v>575</v>
      </c>
      <c r="C13" s="6">
        <v>297677.15000000008</v>
      </c>
      <c r="E13" s="8" t="s">
        <v>64</v>
      </c>
      <c r="F13" s="6">
        <v>210081.14</v>
      </c>
      <c r="H13" s="8" t="s">
        <v>80</v>
      </c>
      <c r="I13" s="6">
        <v>313010.51</v>
      </c>
    </row>
    <row r="14" spans="2:9" x14ac:dyDescent="0.3">
      <c r="B14" s="8" t="s">
        <v>576</v>
      </c>
      <c r="C14" s="6">
        <v>151978.68</v>
      </c>
      <c r="E14" s="8" t="s">
        <v>42</v>
      </c>
      <c r="F14" s="6">
        <v>203575.48</v>
      </c>
      <c r="H14" s="8" t="s">
        <v>19</v>
      </c>
      <c r="I14" s="6">
        <v>244713.44</v>
      </c>
    </row>
    <row r="15" spans="2:9" x14ac:dyDescent="0.3">
      <c r="B15" s="8" t="s">
        <v>577</v>
      </c>
      <c r="C15" s="6">
        <v>267050.58999999997</v>
      </c>
      <c r="E15" s="8" t="s">
        <v>15</v>
      </c>
      <c r="F15" s="6">
        <v>199662.21000000002</v>
      </c>
      <c r="H15" s="8" t="s">
        <v>581</v>
      </c>
      <c r="I15" s="6">
        <v>3086899.5099999993</v>
      </c>
    </row>
    <row r="16" spans="2:9" x14ac:dyDescent="0.3">
      <c r="B16" s="8" t="s">
        <v>578</v>
      </c>
      <c r="C16" s="6">
        <v>260036.42</v>
      </c>
      <c r="E16" s="8" t="s">
        <v>77</v>
      </c>
      <c r="F16" s="6">
        <v>173309.06</v>
      </c>
    </row>
    <row r="17" spans="2:9" x14ac:dyDescent="0.3">
      <c r="B17" s="8" t="s">
        <v>579</v>
      </c>
      <c r="C17" s="6">
        <v>317176.03999999992</v>
      </c>
      <c r="E17" s="8" t="s">
        <v>581</v>
      </c>
      <c r="F17" s="6">
        <v>2374044.5200000005</v>
      </c>
    </row>
    <row r="18" spans="2:9" x14ac:dyDescent="0.3">
      <c r="B18" s="8" t="s">
        <v>580</v>
      </c>
      <c r="C18" s="6">
        <v>229191.82</v>
      </c>
    </row>
    <row r="19" spans="2:9" x14ac:dyDescent="0.3">
      <c r="B19" s="8" t="s">
        <v>581</v>
      </c>
      <c r="C19" s="6">
        <v>3086899.51</v>
      </c>
      <c r="E19" t="s">
        <v>567</v>
      </c>
      <c r="F19">
        <v>3086899.5100000007</v>
      </c>
      <c r="H19" t="s">
        <v>568</v>
      </c>
      <c r="I19">
        <v>240028.79000000015</v>
      </c>
    </row>
    <row r="22" spans="2:9" x14ac:dyDescent="0.3">
      <c r="B22" s="10" t="s">
        <v>586</v>
      </c>
      <c r="C22" s="10"/>
      <c r="E22" s="10" t="s">
        <v>584</v>
      </c>
      <c r="F22" s="10"/>
      <c r="H22" s="11" t="s">
        <v>587</v>
      </c>
      <c r="I22" s="11"/>
    </row>
    <row r="23" spans="2:9" x14ac:dyDescent="0.3">
      <c r="B23" s="7" t="s">
        <v>588</v>
      </c>
      <c r="C23" t="s">
        <v>591</v>
      </c>
      <c r="E23" s="7" t="s">
        <v>590</v>
      </c>
      <c r="F23" t="s">
        <v>566</v>
      </c>
      <c r="H23" s="7" t="s">
        <v>4</v>
      </c>
      <c r="I23" t="s">
        <v>566</v>
      </c>
    </row>
    <row r="24" spans="2:9" x14ac:dyDescent="0.3">
      <c r="B24" s="8">
        <v>0</v>
      </c>
      <c r="C24" s="6">
        <v>88401.49000000002</v>
      </c>
      <c r="E24" s="8" t="s">
        <v>83</v>
      </c>
      <c r="F24" s="6">
        <v>112610.75</v>
      </c>
      <c r="H24" s="8" t="s">
        <v>37</v>
      </c>
      <c r="I24" s="6">
        <v>1155373.6000000001</v>
      </c>
    </row>
    <row r="25" spans="2:9" x14ac:dyDescent="0.3">
      <c r="B25" s="8">
        <v>5</v>
      </c>
      <c r="C25" s="6">
        <v>44111.660000000011</v>
      </c>
      <c r="E25" s="8" t="s">
        <v>114</v>
      </c>
      <c r="F25" s="6">
        <v>138238.39999999999</v>
      </c>
      <c r="H25" s="8" t="s">
        <v>20</v>
      </c>
      <c r="I25" s="6">
        <v>1009753.4000000001</v>
      </c>
    </row>
    <row r="26" spans="2:9" x14ac:dyDescent="0.3">
      <c r="B26" s="8">
        <v>10</v>
      </c>
      <c r="C26" s="6">
        <v>58313.85000000002</v>
      </c>
      <c r="E26" s="8" t="s">
        <v>26</v>
      </c>
      <c r="F26" s="6">
        <v>144694.89000000001</v>
      </c>
      <c r="H26" s="8" t="s">
        <v>14</v>
      </c>
      <c r="I26" s="6">
        <v>921772.50999999978</v>
      </c>
    </row>
    <row r="27" spans="2:9" x14ac:dyDescent="0.3">
      <c r="B27" s="8">
        <v>15</v>
      </c>
      <c r="C27" s="6">
        <v>28616.940000000002</v>
      </c>
      <c r="E27" s="8" t="s">
        <v>33</v>
      </c>
      <c r="F27" s="6">
        <v>148690.78000000003</v>
      </c>
      <c r="H27" s="8" t="s">
        <v>581</v>
      </c>
      <c r="I27" s="6">
        <v>3086899.51</v>
      </c>
    </row>
    <row r="28" spans="2:9" x14ac:dyDescent="0.3">
      <c r="B28" s="8">
        <v>20</v>
      </c>
      <c r="C28" s="6">
        <v>14714.289999999999</v>
      </c>
      <c r="E28" s="8" t="s">
        <v>96</v>
      </c>
      <c r="F28" s="6">
        <v>168620.16999999998</v>
      </c>
    </row>
    <row r="29" spans="2:9" x14ac:dyDescent="0.3">
      <c r="B29" s="8">
        <v>25</v>
      </c>
      <c r="C29" s="6">
        <v>6470.0400000000018</v>
      </c>
      <c r="E29" s="8" t="s">
        <v>581</v>
      </c>
      <c r="F29" s="6">
        <v>712854.99</v>
      </c>
    </row>
    <row r="30" spans="2:9" x14ac:dyDescent="0.3">
      <c r="B30" s="8">
        <v>30</v>
      </c>
      <c r="C30" s="6">
        <v>-599.48000000000047</v>
      </c>
    </row>
    <row r="31" spans="2:9" x14ac:dyDescent="0.3">
      <c r="B31" s="8" t="s">
        <v>581</v>
      </c>
      <c r="C31" s="6">
        <v>240028.79000000007</v>
      </c>
    </row>
  </sheetData>
  <mergeCells count="6">
    <mergeCell ref="B5:C5"/>
    <mergeCell ref="E5:F5"/>
    <mergeCell ref="H5:I5"/>
    <mergeCell ref="E22:F22"/>
    <mergeCell ref="B22:C22"/>
    <mergeCell ref="H22:I22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2B4A-E802-4A04-89AA-18E79B5D2D71}">
  <dimension ref="A1:B18"/>
  <sheetViews>
    <sheetView workbookViewId="0">
      <selection activeCell="B30" sqref="B30"/>
    </sheetView>
  </sheetViews>
  <sheetFormatPr defaultRowHeight="14.4" x14ac:dyDescent="0.3"/>
  <cols>
    <col min="1" max="1" width="37.88671875" bestFit="1" customWidth="1"/>
  </cols>
  <sheetData>
    <row r="1" spans="1:2" x14ac:dyDescent="0.3">
      <c r="A1" t="s">
        <v>592</v>
      </c>
      <c r="B1" t="s">
        <v>597</v>
      </c>
    </row>
    <row r="2" spans="1:2" x14ac:dyDescent="0.3">
      <c r="A2" t="s">
        <v>593</v>
      </c>
      <c r="B2" s="8" t="s">
        <v>38</v>
      </c>
    </row>
    <row r="3" spans="1:2" x14ac:dyDescent="0.3">
      <c r="A3" t="s">
        <v>594</v>
      </c>
      <c r="B3" t="s">
        <v>25</v>
      </c>
    </row>
    <row r="4" spans="1:2" x14ac:dyDescent="0.3">
      <c r="A4" t="s">
        <v>595</v>
      </c>
      <c r="B4" t="s">
        <v>576</v>
      </c>
    </row>
    <row r="5" spans="1:2" x14ac:dyDescent="0.3">
      <c r="A5" t="s">
        <v>596</v>
      </c>
      <c r="B5" s="8" t="s">
        <v>14</v>
      </c>
    </row>
    <row r="7" spans="1:2" x14ac:dyDescent="0.3">
      <c r="A7" t="s">
        <v>598</v>
      </c>
    </row>
    <row r="8" spans="1:2" x14ac:dyDescent="0.3">
      <c r="A8" t="s">
        <v>599</v>
      </c>
      <c r="B8" t="s">
        <v>600</v>
      </c>
    </row>
    <row r="9" spans="1:2" x14ac:dyDescent="0.3">
      <c r="A9" t="s">
        <v>601</v>
      </c>
    </row>
    <row r="10" spans="1:2" x14ac:dyDescent="0.3">
      <c r="A10" t="s">
        <v>602</v>
      </c>
    </row>
    <row r="11" spans="1:2" x14ac:dyDescent="0.3">
      <c r="A11" t="s">
        <v>603</v>
      </c>
    </row>
    <row r="12" spans="1:2" x14ac:dyDescent="0.3">
      <c r="A12" t="s">
        <v>604</v>
      </c>
    </row>
    <row r="14" spans="1:2" x14ac:dyDescent="0.3">
      <c r="A14" s="9" t="s">
        <v>605</v>
      </c>
    </row>
    <row r="15" spans="1:2" x14ac:dyDescent="0.3">
      <c r="A15" s="9" t="s">
        <v>606</v>
      </c>
    </row>
    <row r="16" spans="1:2" x14ac:dyDescent="0.3">
      <c r="A16" s="9" t="s">
        <v>607</v>
      </c>
    </row>
    <row r="17" spans="1:1" x14ac:dyDescent="0.3">
      <c r="A17" s="9" t="s">
        <v>608</v>
      </c>
    </row>
    <row r="18" spans="1:1" x14ac:dyDescent="0.3">
      <c r="A18" s="9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</vt:lpstr>
      <vt:lpstr>Report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Singh</cp:lastModifiedBy>
  <dcterms:created xsi:type="dcterms:W3CDTF">2026-08-04T13:53:10Z</dcterms:created>
  <dcterms:modified xsi:type="dcterms:W3CDTF">2026-08-04T19:06:13Z</dcterms:modified>
</cp:coreProperties>
</file>